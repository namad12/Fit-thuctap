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Fit-thuctap\5_TaskList\"/>
    </mc:Choice>
  </mc:AlternateContent>
  <bookViews>
    <workbookView xWindow="0" yWindow="0" windowWidth="28800" windowHeight="12330"/>
  </bookViews>
  <sheets>
    <sheet name="Lịch làm việc" sheetId="1" r:id="rId1"/>
  </sheets>
  <calcPr calcId="162913"/>
  <extLst>
    <ext uri="GoogleSheetsCustomDataVersion2">
      <go:sheetsCustomData xmlns:go="http://customooxmlschemas.google.com/" r:id="rId5" roundtripDataChecksum="Bku39ju67ygIA/Tw97QrrT9IDi60YAXWRMG5nL8PrXA="/>
    </ext>
  </extLst>
</workbook>
</file>

<file path=xl/calcChain.xml><?xml version="1.0" encoding="utf-8"?>
<calcChain xmlns="http://schemas.openxmlformats.org/spreadsheetml/2006/main">
  <c r="C278" i="1" l="1"/>
  <c r="I277" i="1"/>
  <c r="I278" i="1" s="1"/>
  <c r="H277" i="1"/>
  <c r="H278" i="1" s="1"/>
  <c r="G277" i="1"/>
  <c r="G278" i="1" s="1"/>
  <c r="F277" i="1"/>
  <c r="F278" i="1" s="1"/>
  <c r="E277" i="1"/>
  <c r="E278" i="1" s="1"/>
  <c r="D277" i="1"/>
  <c r="D278" i="1" s="1"/>
  <c r="C277" i="1"/>
  <c r="I270" i="1" l="1"/>
  <c r="I271" i="1" s="1"/>
  <c r="H270" i="1"/>
  <c r="H271" i="1" s="1"/>
  <c r="G270" i="1"/>
  <c r="G271" i="1" s="1"/>
  <c r="F270" i="1"/>
  <c r="F271" i="1" s="1"/>
  <c r="E270" i="1"/>
  <c r="E271" i="1" s="1"/>
  <c r="D270" i="1"/>
  <c r="D271" i="1" s="1"/>
  <c r="C270" i="1"/>
  <c r="C271" i="1" s="1"/>
  <c r="F263" i="1"/>
  <c r="I262" i="1"/>
  <c r="I263" i="1" s="1"/>
  <c r="H262" i="1"/>
  <c r="H263" i="1" s="1"/>
  <c r="G262" i="1"/>
  <c r="G263" i="1" s="1"/>
  <c r="F262" i="1"/>
  <c r="E262" i="1"/>
  <c r="E263" i="1" s="1"/>
  <c r="D262" i="1"/>
  <c r="D263" i="1" s="1"/>
  <c r="C262" i="1"/>
  <c r="C263" i="1" s="1"/>
  <c r="I254" i="1"/>
  <c r="I255" i="1" s="1"/>
  <c r="H254" i="1"/>
  <c r="H255" i="1" s="1"/>
  <c r="G254" i="1"/>
  <c r="G255" i="1" s="1"/>
  <c r="F254" i="1"/>
  <c r="F255" i="1" s="1"/>
  <c r="E254" i="1"/>
  <c r="E255" i="1" s="1"/>
  <c r="D254" i="1"/>
  <c r="D255" i="1" s="1"/>
  <c r="C254" i="1"/>
  <c r="C255" i="1" s="1"/>
  <c r="F248" i="1" l="1"/>
  <c r="I247" i="1"/>
  <c r="I248" i="1" s="1"/>
  <c r="H247" i="1"/>
  <c r="H248" i="1" s="1"/>
  <c r="G247" i="1"/>
  <c r="G248" i="1" s="1"/>
  <c r="F247" i="1"/>
  <c r="E247" i="1"/>
  <c r="E248" i="1" s="1"/>
  <c r="D247" i="1"/>
  <c r="D248" i="1" s="1"/>
  <c r="C247" i="1"/>
  <c r="C248" i="1" s="1"/>
  <c r="I240" i="1" l="1"/>
  <c r="I241" i="1" s="1"/>
  <c r="H240" i="1"/>
  <c r="H241" i="1" s="1"/>
  <c r="G240" i="1"/>
  <c r="G241" i="1" s="1"/>
  <c r="F240" i="1"/>
  <c r="F241" i="1" s="1"/>
  <c r="E240" i="1"/>
  <c r="E241" i="1" s="1"/>
  <c r="D240" i="1"/>
  <c r="D241" i="1" s="1"/>
  <c r="C240" i="1"/>
  <c r="C241" i="1" s="1"/>
  <c r="H234" i="1"/>
  <c r="E234" i="1"/>
  <c r="I233" i="1"/>
  <c r="I234" i="1" s="1"/>
  <c r="H233" i="1"/>
  <c r="G233" i="1"/>
  <c r="G234" i="1" s="1"/>
  <c r="F233" i="1"/>
  <c r="F234" i="1" s="1"/>
  <c r="E233" i="1"/>
  <c r="D233" i="1"/>
  <c r="D234" i="1" s="1"/>
  <c r="C233" i="1"/>
  <c r="C234" i="1" s="1"/>
  <c r="I226" i="1" l="1"/>
  <c r="I227" i="1" s="1"/>
  <c r="H226" i="1"/>
  <c r="H227" i="1" s="1"/>
  <c r="G226" i="1"/>
  <c r="G227" i="1" s="1"/>
  <c r="F226" i="1"/>
  <c r="F227" i="1" s="1"/>
  <c r="E226" i="1"/>
  <c r="E227" i="1" s="1"/>
  <c r="D226" i="1"/>
  <c r="D227" i="1" s="1"/>
  <c r="C226" i="1"/>
  <c r="C227" i="1" s="1"/>
  <c r="H220" i="1" l="1"/>
  <c r="I219" i="1"/>
  <c r="I220" i="1" s="1"/>
  <c r="H219" i="1"/>
  <c r="G219" i="1"/>
  <c r="G220" i="1" s="1"/>
  <c r="F219" i="1"/>
  <c r="F220" i="1" s="1"/>
  <c r="E219" i="1"/>
  <c r="E220" i="1" s="1"/>
  <c r="D219" i="1"/>
  <c r="D220" i="1" s="1"/>
  <c r="C219" i="1"/>
  <c r="C220" i="1" s="1"/>
  <c r="I211" i="1"/>
  <c r="I212" i="1" s="1"/>
  <c r="H211" i="1"/>
  <c r="H212" i="1" s="1"/>
  <c r="G211" i="1"/>
  <c r="G212" i="1" s="1"/>
  <c r="F211" i="1"/>
  <c r="F212" i="1" s="1"/>
  <c r="E211" i="1"/>
  <c r="E212" i="1" s="1"/>
  <c r="D211" i="1"/>
  <c r="D212" i="1" s="1"/>
  <c r="C211" i="1"/>
  <c r="C212" i="1" s="1"/>
  <c r="C203" i="1" l="1"/>
  <c r="C204" i="1" s="1"/>
  <c r="D203" i="1"/>
  <c r="G204" i="1"/>
  <c r="I203" i="1"/>
  <c r="I204" i="1" s="1"/>
  <c r="H203" i="1"/>
  <c r="H204" i="1" s="1"/>
  <c r="G203" i="1"/>
  <c r="F203" i="1"/>
  <c r="F204" i="1" s="1"/>
  <c r="E203" i="1"/>
  <c r="E204" i="1" s="1"/>
  <c r="D204" i="1"/>
  <c r="F196" i="1"/>
  <c r="I195" i="1"/>
  <c r="I196" i="1" s="1"/>
  <c r="H195" i="1"/>
  <c r="H196" i="1" s="1"/>
  <c r="G195" i="1"/>
  <c r="G196" i="1" s="1"/>
  <c r="F195" i="1"/>
  <c r="E195" i="1"/>
  <c r="E196" i="1" s="1"/>
  <c r="D195" i="1"/>
  <c r="D196" i="1" s="1"/>
  <c r="C195" i="1"/>
  <c r="C196" i="1" s="1"/>
  <c r="I187" i="1" l="1"/>
  <c r="I188" i="1" s="1"/>
  <c r="H187" i="1"/>
  <c r="H188" i="1" s="1"/>
  <c r="G187" i="1"/>
  <c r="G188" i="1" s="1"/>
  <c r="F187" i="1"/>
  <c r="F188" i="1" s="1"/>
  <c r="E187" i="1"/>
  <c r="E188" i="1" s="1"/>
  <c r="D187" i="1"/>
  <c r="D188" i="1" s="1"/>
  <c r="C187" i="1"/>
  <c r="C188" i="1" s="1"/>
  <c r="I180" i="1" l="1"/>
  <c r="I181" i="1" s="1"/>
  <c r="H180" i="1"/>
  <c r="H181" i="1" s="1"/>
  <c r="G180" i="1"/>
  <c r="G181" i="1" s="1"/>
  <c r="F180" i="1"/>
  <c r="F181" i="1" s="1"/>
  <c r="E180" i="1"/>
  <c r="E181" i="1" s="1"/>
  <c r="D180" i="1"/>
  <c r="D181" i="1" s="1"/>
  <c r="C180" i="1"/>
  <c r="C181" i="1" s="1"/>
  <c r="F174" i="1" l="1"/>
  <c r="I173" i="1"/>
  <c r="I174" i="1" s="1"/>
  <c r="H173" i="1"/>
  <c r="H174" i="1" s="1"/>
  <c r="G173" i="1"/>
  <c r="G174" i="1" s="1"/>
  <c r="F173" i="1"/>
  <c r="E173" i="1"/>
  <c r="E174" i="1" s="1"/>
  <c r="D173" i="1"/>
  <c r="D174" i="1" s="1"/>
  <c r="C173" i="1"/>
  <c r="C174" i="1" s="1"/>
  <c r="F167" i="1" l="1"/>
  <c r="I166" i="1"/>
  <c r="I167" i="1" s="1"/>
  <c r="H166" i="1"/>
  <c r="H167" i="1" s="1"/>
  <c r="G166" i="1"/>
  <c r="G167" i="1" s="1"/>
  <c r="F166" i="1"/>
  <c r="E166" i="1"/>
  <c r="E167" i="1" s="1"/>
  <c r="D166" i="1"/>
  <c r="D167" i="1" s="1"/>
  <c r="C166" i="1"/>
  <c r="C167" i="1" s="1"/>
  <c r="I159" i="1"/>
  <c r="I160" i="1" s="1"/>
  <c r="H159" i="1"/>
  <c r="H160" i="1" s="1"/>
  <c r="G159" i="1"/>
  <c r="G160" i="1" s="1"/>
  <c r="F159" i="1"/>
  <c r="F160" i="1" s="1"/>
  <c r="E159" i="1"/>
  <c r="E160" i="1" s="1"/>
  <c r="D159" i="1"/>
  <c r="D160" i="1" s="1"/>
  <c r="C159" i="1"/>
  <c r="C160" i="1" s="1"/>
  <c r="F153" i="1" l="1"/>
  <c r="I152" i="1"/>
  <c r="I153" i="1" s="1"/>
  <c r="H152" i="1"/>
  <c r="H153" i="1" s="1"/>
  <c r="G152" i="1"/>
  <c r="G153" i="1" s="1"/>
  <c r="F152" i="1"/>
  <c r="E152" i="1"/>
  <c r="E153" i="1" s="1"/>
  <c r="D152" i="1"/>
  <c r="D153" i="1" s="1"/>
  <c r="C152" i="1"/>
  <c r="C153" i="1" s="1"/>
  <c r="I145" i="1" l="1"/>
  <c r="I146" i="1" s="1"/>
  <c r="H145" i="1"/>
  <c r="H146" i="1" s="1"/>
  <c r="G145" i="1"/>
  <c r="G146" i="1" s="1"/>
  <c r="F145" i="1"/>
  <c r="F146" i="1" s="1"/>
  <c r="E145" i="1"/>
  <c r="E146" i="1" s="1"/>
  <c r="D145" i="1"/>
  <c r="D146" i="1" s="1"/>
  <c r="C145" i="1"/>
  <c r="C146" i="1" s="1"/>
  <c r="I138" i="1"/>
  <c r="I139" i="1" s="1"/>
  <c r="H138" i="1"/>
  <c r="H139" i="1" s="1"/>
  <c r="G138" i="1"/>
  <c r="G139" i="1" s="1"/>
  <c r="F138" i="1"/>
  <c r="F139" i="1" s="1"/>
  <c r="E138" i="1"/>
  <c r="E139" i="1" s="1"/>
  <c r="D138" i="1"/>
  <c r="D139" i="1" s="1"/>
  <c r="C138" i="1"/>
  <c r="C139" i="1" s="1"/>
  <c r="G132" i="1" l="1"/>
  <c r="I131" i="1"/>
  <c r="I132" i="1" s="1"/>
  <c r="H131" i="1"/>
  <c r="H132" i="1" s="1"/>
  <c r="G131" i="1"/>
  <c r="F131" i="1"/>
  <c r="F132" i="1" s="1"/>
  <c r="E131" i="1"/>
  <c r="E132" i="1" s="1"/>
  <c r="D131" i="1"/>
  <c r="D132" i="1" s="1"/>
  <c r="C131" i="1"/>
  <c r="C132" i="1" s="1"/>
  <c r="I124" i="1"/>
  <c r="I125" i="1" s="1"/>
  <c r="H124" i="1"/>
  <c r="H125" i="1" s="1"/>
  <c r="G124" i="1"/>
  <c r="G125" i="1" s="1"/>
  <c r="F124" i="1"/>
  <c r="F125" i="1" s="1"/>
  <c r="E124" i="1"/>
  <c r="E125" i="1" s="1"/>
  <c r="D124" i="1"/>
  <c r="D125" i="1" s="1"/>
  <c r="C124" i="1"/>
  <c r="C125" i="1" s="1"/>
  <c r="F118" i="1" l="1"/>
  <c r="I117" i="1"/>
  <c r="I118" i="1" s="1"/>
  <c r="H117" i="1"/>
  <c r="H118" i="1" s="1"/>
  <c r="G117" i="1"/>
  <c r="G118" i="1" s="1"/>
  <c r="F117" i="1"/>
  <c r="E117" i="1"/>
  <c r="E118" i="1" s="1"/>
  <c r="D117" i="1"/>
  <c r="D118" i="1" s="1"/>
  <c r="C117" i="1"/>
  <c r="C118" i="1" s="1"/>
  <c r="E110" i="1" l="1"/>
  <c r="I109" i="1"/>
  <c r="I110" i="1" s="1"/>
  <c r="H109" i="1"/>
  <c r="H110" i="1" s="1"/>
  <c r="G109" i="1"/>
  <c r="G110" i="1" s="1"/>
  <c r="F109" i="1"/>
  <c r="F110" i="1" s="1"/>
  <c r="E109" i="1"/>
  <c r="D109" i="1"/>
  <c r="D110" i="1" s="1"/>
  <c r="C109" i="1"/>
  <c r="C110" i="1" s="1"/>
  <c r="F101" i="1"/>
  <c r="I100" i="1"/>
  <c r="I101" i="1" s="1"/>
  <c r="H100" i="1"/>
  <c r="H101" i="1" s="1"/>
  <c r="G100" i="1"/>
  <c r="G101" i="1" s="1"/>
  <c r="F100" i="1"/>
  <c r="E100" i="1"/>
  <c r="E101" i="1" s="1"/>
  <c r="D100" i="1"/>
  <c r="D101" i="1" s="1"/>
  <c r="C100" i="1"/>
  <c r="C101" i="1" s="1"/>
  <c r="E93" i="1" l="1"/>
  <c r="I92" i="1"/>
  <c r="I93" i="1" s="1"/>
  <c r="H92" i="1"/>
  <c r="H93" i="1" s="1"/>
  <c r="G92" i="1"/>
  <c r="G93" i="1" s="1"/>
  <c r="F92" i="1"/>
  <c r="F93" i="1" s="1"/>
  <c r="E92" i="1"/>
  <c r="D92" i="1"/>
  <c r="D93" i="1" s="1"/>
  <c r="C92" i="1"/>
  <c r="C93" i="1" s="1"/>
  <c r="I84" i="1"/>
  <c r="I85" i="1" s="1"/>
  <c r="H84" i="1"/>
  <c r="H85" i="1" s="1"/>
  <c r="G84" i="1"/>
  <c r="G85" i="1" s="1"/>
  <c r="F84" i="1"/>
  <c r="F85" i="1" s="1"/>
  <c r="E84" i="1"/>
  <c r="E85" i="1" s="1"/>
  <c r="D84" i="1"/>
  <c r="D85" i="1" s="1"/>
  <c r="C84" i="1"/>
  <c r="C85" i="1" s="1"/>
  <c r="G77" i="1"/>
  <c r="E77" i="1"/>
  <c r="I76" i="1"/>
  <c r="I77" i="1" s="1"/>
  <c r="H76" i="1"/>
  <c r="H77" i="1" s="1"/>
  <c r="G76" i="1"/>
  <c r="F76" i="1"/>
  <c r="F77" i="1" s="1"/>
  <c r="E76" i="1"/>
  <c r="D76" i="1"/>
  <c r="D77" i="1" s="1"/>
  <c r="C76" i="1"/>
  <c r="C77" i="1" s="1"/>
  <c r="I68" i="1" l="1"/>
  <c r="I69" i="1" s="1"/>
  <c r="H68" i="1"/>
  <c r="H69" i="1" s="1"/>
  <c r="G68" i="1"/>
  <c r="G69" i="1" s="1"/>
  <c r="F68" i="1"/>
  <c r="F69" i="1" s="1"/>
  <c r="E68" i="1"/>
  <c r="E69" i="1" s="1"/>
  <c r="D68" i="1"/>
  <c r="D69" i="1" s="1"/>
  <c r="C68" i="1"/>
  <c r="C69" i="1" s="1"/>
  <c r="I60" i="1" l="1"/>
  <c r="I61" i="1" s="1"/>
  <c r="H60" i="1"/>
  <c r="H61" i="1" s="1"/>
  <c r="G60" i="1"/>
  <c r="G61" i="1" s="1"/>
  <c r="F60" i="1"/>
  <c r="F61" i="1" s="1"/>
  <c r="E60" i="1"/>
  <c r="E61" i="1" s="1"/>
  <c r="D60" i="1"/>
  <c r="D61" i="1" s="1"/>
  <c r="C60" i="1"/>
  <c r="C61" i="1" s="1"/>
  <c r="F53" i="1" l="1"/>
  <c r="I52" i="1"/>
  <c r="I53" i="1" s="1"/>
  <c r="H52" i="1"/>
  <c r="H53" i="1" s="1"/>
  <c r="G52" i="1"/>
  <c r="G53" i="1" s="1"/>
  <c r="F52" i="1"/>
  <c r="E52" i="1"/>
  <c r="E53" i="1" s="1"/>
  <c r="D52" i="1"/>
  <c r="D53" i="1" s="1"/>
  <c r="C52" i="1"/>
  <c r="C53" i="1" s="1"/>
  <c r="C45" i="1" l="1"/>
  <c r="I46" i="1"/>
  <c r="G46" i="1"/>
  <c r="I45" i="1"/>
  <c r="H45" i="1"/>
  <c r="H46" i="1" s="1"/>
  <c r="G45" i="1"/>
  <c r="F45" i="1"/>
  <c r="F46" i="1" s="1"/>
  <c r="E45" i="1"/>
  <c r="E46" i="1" s="1"/>
  <c r="D45" i="1"/>
  <c r="D46" i="1" s="1"/>
  <c r="C46" i="1"/>
  <c r="F38" i="1" l="1"/>
  <c r="I37" i="1"/>
  <c r="I38" i="1" s="1"/>
  <c r="H37" i="1"/>
  <c r="H38" i="1" s="1"/>
  <c r="G37" i="1"/>
  <c r="G38" i="1" s="1"/>
  <c r="F37" i="1"/>
  <c r="E37" i="1"/>
  <c r="E38" i="1" s="1"/>
  <c r="D37" i="1"/>
  <c r="D38" i="1" s="1"/>
  <c r="C37" i="1"/>
  <c r="C38" i="1" s="1"/>
  <c r="H31" i="1"/>
  <c r="I30" i="1"/>
  <c r="I31" i="1" s="1"/>
  <c r="H30" i="1"/>
  <c r="G30" i="1"/>
  <c r="G31" i="1" s="1"/>
  <c r="F30" i="1"/>
  <c r="F31" i="1" s="1"/>
  <c r="E30" i="1"/>
  <c r="E31" i="1" s="1"/>
  <c r="D30" i="1"/>
  <c r="D31" i="1" s="1"/>
  <c r="C30" i="1"/>
  <c r="C31" i="1" s="1"/>
  <c r="I23" i="1"/>
  <c r="I24" i="1" s="1"/>
  <c r="H23" i="1"/>
  <c r="H24" i="1" s="1"/>
  <c r="G23" i="1"/>
  <c r="G24" i="1" s="1"/>
  <c r="F23" i="1"/>
  <c r="F24" i="1" s="1"/>
  <c r="E23" i="1"/>
  <c r="E24" i="1" s="1"/>
  <c r="D23" i="1"/>
  <c r="D24" i="1" s="1"/>
  <c r="C23" i="1"/>
  <c r="C24" i="1" s="1"/>
  <c r="E17" i="1"/>
  <c r="I16" i="1"/>
  <c r="I17" i="1" s="1"/>
  <c r="H16" i="1"/>
  <c r="H17" i="1" s="1"/>
  <c r="G16" i="1"/>
  <c r="G17" i="1" s="1"/>
  <c r="F16" i="1"/>
  <c r="F17" i="1" s="1"/>
  <c r="E16" i="1"/>
  <c r="D16" i="1"/>
  <c r="D17" i="1" s="1"/>
  <c r="C16" i="1"/>
  <c r="C17" i="1" s="1"/>
  <c r="G10" i="1"/>
  <c r="I9" i="1"/>
  <c r="I10" i="1" s="1"/>
  <c r="H9" i="1"/>
  <c r="H10" i="1" s="1"/>
  <c r="G9" i="1"/>
  <c r="F9" i="1"/>
  <c r="F10" i="1" s="1"/>
  <c r="E9" i="1"/>
  <c r="E10" i="1" s="1"/>
  <c r="D9" i="1"/>
  <c r="D10" i="1" s="1"/>
  <c r="C9" i="1"/>
  <c r="C10" i="1" s="1"/>
  <c r="I3" i="1"/>
  <c r="C3" i="1"/>
  <c r="I2" i="1"/>
  <c r="H2" i="1"/>
  <c r="H3" i="1" s="1"/>
  <c r="G2" i="1"/>
  <c r="G3" i="1" s="1"/>
  <c r="F2" i="1"/>
  <c r="F3" i="1" s="1"/>
  <c r="E2" i="1"/>
  <c r="E3" i="1" s="1"/>
  <c r="D2" i="1"/>
  <c r="D3" i="1" s="1"/>
  <c r="C2" i="1"/>
</calcChain>
</file>

<file path=xl/sharedStrings.xml><?xml version="1.0" encoding="utf-8"?>
<sst xmlns="http://schemas.openxmlformats.org/spreadsheetml/2006/main" count="288" uniqueCount="186">
  <si>
    <t xml:space="preserve">Tuần: 01
</t>
  </si>
  <si>
    <r>
      <rPr>
        <b/>
        <sz val="10"/>
        <color rgb="FF555555"/>
        <rFont val="Roboto"/>
      </rPr>
      <t xml:space="preserve">- Bắt đầu nhận thực tập
</t>
    </r>
    <r>
      <rPr>
        <sz val="10"/>
        <color rgb="FF555555"/>
        <rFont val="Roboto"/>
      </rPr>
      <t>- Gửi tài liệu Asp.Net và Sql Oracle
- Gửi các phần mềm để cài đặt</t>
    </r>
  </si>
  <si>
    <t>Nghỉ</t>
  </si>
  <si>
    <t>- Đọc tài liệu .Net và Oracle. 
- Làm các phần bài tập cuối chương: chương 1 - 6  của Oracle.</t>
  </si>
  <si>
    <t xml:space="preserve">Tuần: 02
</t>
  </si>
  <si>
    <t>- Đọc tài liệu và làm các phần bài tập cuối chương 7-9 của Oracle. 
- Nộp bài tập chương 1-8</t>
  </si>
  <si>
    <t>- Đọc tài liệu và làm các bài tập cuối chương 1-4 của ASP.Net. 
- Nộp bài tập chương 9 của Oracle, chương 1-3 của ASP.Net</t>
  </si>
  <si>
    <t xml:space="preserve">- Đọc tài liệu chương 5-6 của ASP.Net. 
- Nộp bài tập chương 5 của ASP.Net. </t>
  </si>
  <si>
    <t>- Đọc tài liệu và làm bài tập chương 7 của ASP.Net. 
- Tham gia tổ chức 20/10 tại công ty</t>
  </si>
  <si>
    <t xml:space="preserve">Tuần: 03
</t>
  </si>
  <si>
    <t>- Làm bài Exam 1, Exam 2 của Oracle</t>
  </si>
  <si>
    <t>- Làm bài Exam 2, Exa m3 của Oracle</t>
  </si>
  <si>
    <t xml:space="preserve">- Làm Exam 1 của Asp.Net </t>
  </si>
  <si>
    <t>- Làm tiếp Exam 1 và làm lại bài tập của Asp.Net</t>
  </si>
  <si>
    <t xml:space="preserve">Tuần: 04
</t>
  </si>
  <si>
    <t>Làm Exam 2 của ASP.Net.  Xem lại bài Exam 1,2 Oracle sau khi người hướng dẫn chữa.</t>
  </si>
  <si>
    <t>Hoạn hiện bổ sung Bài tập cuối chương Asp.Net phần CSS, Js. Xem lại Exam2 Oracle.</t>
  </si>
  <si>
    <t>Xem lại code bài Exam2 Oracle sau khi được người hướng dẫn chữa. Làm bổ xung bài tập cuối chương của Asp.Net.</t>
  </si>
  <si>
    <t>Nộp lại exam 2 của oracle. Làm tiệp bài tập cuối chương của Asp.Net</t>
  </si>
  <si>
    <t xml:space="preserve">Tuần: 05
</t>
  </si>
  <si>
    <t xml:space="preserve">Làm Exam của Asp.Net Exam 1,2, Nôp bài tập bổ sung cuối chương của Asp.Net </t>
  </si>
  <si>
    <t>Làm Exam 3 của Asp.Net, Nộp bài tập chương cuối của Asp.Net</t>
  </si>
  <si>
    <t>Xem lại bài cuối chương của Asp.Net sau khi được người hướng dẫn sửa, Xem lại Exam 1-3 của Asp.Net</t>
  </si>
  <si>
    <t>Sửa bài Exam 2 của Oracle, Hoàn thiện Exam của Asp.Net</t>
  </si>
  <si>
    <t xml:space="preserve">Tuần: 06
</t>
  </si>
  <si>
    <t>Hoàn thành Exam của Asp.Net, Tìm hiểu thêm về WindowsService và WorkerService</t>
  </si>
  <si>
    <t>Tìm hiểu thêm về WindowsService và WorkerService</t>
  </si>
  <si>
    <t>Setup máy tính, tìm hiểu qua về Web API</t>
  </si>
  <si>
    <t xml:space="preserve">Tuần: 07
</t>
  </si>
  <si>
    <t>Làm Worker Service kết nối oracle thực hiện đọc một bảng bất kỳ(JobGrade)</t>
  </si>
  <si>
    <t>Làm WebAPI thực hiện đọc và thêm một bản ghi vào bảng JobGrade</t>
  </si>
  <si>
    <t>Làm Worker Service kết nối oracle thực hiện thêm một bản ghi vào bảng Parafeevsd</t>
  </si>
  <si>
    <t>Người hướng dẫn review exam của Asp.Net. Làm Worker Service kết nối oracle thực hiện thêm một bản ghi vào một bảng bất kỳ(JobGrade)</t>
  </si>
  <si>
    <t>Thử tích hợp API tạo được vào trong bài(lấy được dữ liệu nhưng phần ghi vẫn đang lỗi)</t>
  </si>
  <si>
    <t xml:space="preserve">Tuần: 08
</t>
  </si>
  <si>
    <t>Tìm hiểu và tạo một BackgroundService (tự động thay đổi trạng thái khi đến thời gian)</t>
  </si>
  <si>
    <t>Tìm hiểu và tạo một BackgroundService (tự động thay đổi trạng thái) sử dụng Quartz để đặt thời gian chạy</t>
  </si>
  <si>
    <t xml:space="preserve">Tuần: 09
</t>
  </si>
  <si>
    <t>Đọc code trong EzLoans Test</t>
  </si>
  <si>
    <t xml:space="preserve">Sao chép 2 trang (Bán xử lý tài khoản Marpro,  Hoãn bán xử lý theo danh sách) từ 
EzMargin (TEST) sang EzLoans Test
</t>
  </si>
  <si>
    <t>Đọc code trong EzLoans Test, viết lại hàm btnDelete_Click của trang Hoãn bán xử lý theo danh sách sử dụng API DELETE_DEAL_SELL</t>
  </si>
  <si>
    <t>Viết lại hàm btnDelete_Click của trang Hoãn bán xử lý theo danh sách sử dụng API DELETE_DEAL_SELL</t>
  </si>
  <si>
    <t>nghỉ</t>
  </si>
  <si>
    <t>Thêm hiện số khách hàng nội bộ và chuyển chữ của khách hàng nội bộ thành màu đỏ. Sử dung API_DELETE_DEAL_SELL để xóa và thêm cột đẻ hiện thông báo.Sử dụng API_CUSTOMERINFO_BY_CLIENT để lấy thông tin khách hàng</t>
  </si>
  <si>
    <t xml:space="preserve">Tuần: 10
</t>
  </si>
  <si>
    <t>Kiểm tra khách hàng có phải margin pro không. Sử dụng API để điiểu chỉnh số lượng của lệnh bán xử lý</t>
  </si>
  <si>
    <t>Sao chép 2 trang (TRA CỨU TỔNG HỢP TÀI KHOẢN MARPRO) từ 
EzMargin (TEST) sang EzLoans Test</t>
  </si>
  <si>
    <t>Sử dụng API_ALL_MARP_GET để lấy thông tin. Và sử dung API đẻ lấy thông tin khách hàng. Thêm popup Gói Marp</t>
  </si>
  <si>
    <t>Sửa lỗi bị lặp danh sách các trang ở form Default. Sửa lại phần gọi API_ALL_MARP_GET(api summary-search)</t>
  </si>
  <si>
    <t>Sử dụng API_GET_DEAL_SELL để lấy bản xử lý trong trang Bán xử lý tài khoản Marpro và sử dụng API_GET_DEAL_SELL_DETAIL đẻ lấy thông tin chi tiết</t>
  </si>
  <si>
    <t xml:space="preserve">Tuần: 11
</t>
  </si>
  <si>
    <t>Sửa lại giao diện form SummarySearchMarpro. Sửa lại tiếp form Default (lỗi khi có 4 subtab)</t>
  </si>
  <si>
    <t>Nghỉ sáng. Sửa lại phần hiện thị popup của trang SummarySearchMarproHis. Sửa lại của form Default.</t>
  </si>
  <si>
    <t>Tạo API loans marp cho account đối chiếu cuối ngày</t>
  </si>
  <si>
    <t>Thêm 2 trang danh sách tài khoản tất toán và sao kê marpro vào EzLoansTest(copy từ EzMargin Test) chuyển các phần sử dụng sp sang dùng API</t>
  </si>
  <si>
    <t>Tìm các sp được sử dụng và được dùng để làm gì của các trang của mục Chạy hệ thống của EzMargin test</t>
  </si>
  <si>
    <t xml:space="preserve"> Tiếp tục tìm các sp được sử dụng và được dùng để làm gì của các trang của mục Chạy hệ thống của EzMargin test. Thêm trang DetailsSearchMarpro vào EzLoans test </t>
  </si>
  <si>
    <t>Bỏ cột 'Tiền treo mua' thêm cột 'Tiên treo hạn mức' của form tra cứu tổng hợp TK</t>
  </si>
  <si>
    <t>Thêm form DetailsSearchMarproHis. SummarySearchMarproHis vào EzLoans Test mục báo cáo(đổi từ sử dụng sp sang API)</t>
  </si>
  <si>
    <t>Tìm các sp được sử dụng và dùng để làm gì cảu các trang trong mục hạn mức của EzMargin Test. Thêm trang điều chỉnh hạn mức theo danh sách (mới được giáo diện)</t>
  </si>
  <si>
    <t xml:space="preserve">Tuần: 12
</t>
  </si>
  <si>
    <t>Thêm trang điều chỉnh hạn mức theo danh sách (làm các chức năng import, cập nhật, làm mới)</t>
  </si>
  <si>
    <t>Sửa lỗi kiểm tra định dạng dữ liệu trong file import, gửi thông báo lên Topics</t>
  </si>
  <si>
    <t>Thêm check file rỗng, không có dữ liệu, không có Header, sửa lỗi đọc cả các dòng thay đôi format. Nghỉ chiều..</t>
  </si>
  <si>
    <t xml:space="preserve">kiểm tra và sửa lại, đẩy code lên. Thêm check thêm file lỗi mà vẫn nhân cập nhật, </t>
  </si>
  <si>
    <t xml:space="preserve">Tuần: 13
</t>
  </si>
  <si>
    <t>Đọc qua code của EzProcessing</t>
  </si>
  <si>
    <t>Clone code EzProcessing và chạy trên trên máy mình. Làm giao diện cho form chạy Chạy EOD - MarginPro</t>
  </si>
  <si>
    <t>Tông hợp và thống kê các api và sp sử dụng của các trang mục Chạy hệ thống và Báo cáo</t>
  </si>
  <si>
    <t>Tông hợp và thống kê các api và sp sử dụng của các trang mục Chạy hệ thống và Báo cáo.</t>
  </si>
  <si>
    <t>Sử lý khi nhân làm mới thì bỏ checkbox và trở lại trạng thái PENDING và khi nhấn run thì chạy và hiện thị kết quả lần luột và tương ứng.</t>
  </si>
  <si>
    <t xml:space="preserve">Tuần: 14
</t>
  </si>
  <si>
    <t>Xây dựng hàm gọi API với các phương thức còn lại. Bắt các trường hợp lỗi. Chỉnh lại giao diện trang.</t>
  </si>
  <si>
    <t>Sửa lại lỗi và tinh chỉnh lại code của form RunEodMarp.</t>
  </si>
  <si>
    <t xml:space="preserve">Tiềm hiểu về Markdown và viết lại tổng hợp thông kê các Api và Sp sử dụng của các mục Chạy hệ thống và Báo cáo bằng Markdown . </t>
  </si>
  <si>
    <t>Nghỉ sáng .Làm giáo diện trang ApiRequestTool và xậy dụng hàm gọi Api phương thức GET và hiện dưới dạng Json</t>
  </si>
  <si>
    <t>Đọc và tinh chỉnh lại code các form đã làm.</t>
  </si>
  <si>
    <t xml:space="preserve">Tuần: 15
</t>
  </si>
  <si>
    <t>Tiềm hiểu về cách cào dữ liệu từ trang web khác bằng cách đọc html. Tìm hiểu về CrystalReport</t>
  </si>
  <si>
    <t xml:space="preserve">Tuần: 16
</t>
  </si>
  <si>
    <t xml:space="preserve">Tuần: 17
</t>
  </si>
  <si>
    <t>Tìm hiểu về Vue.js. Chỉnh lại form SendMessToAsset chọn địa chỉ BootstrapServer (FOX, LLQ)</t>
  </si>
  <si>
    <t>Tìm hiểu về Vue.js.</t>
  </si>
  <si>
    <t>Tìm hiểu về Vue.js. Về component</t>
  </si>
  <si>
    <t>Tìm hiểu về Vue.js, Về hiệu ứng chuyển động</t>
  </si>
  <si>
    <t xml:space="preserve">Tìm hiểu về Vue.js. Về component </t>
  </si>
  <si>
    <t xml:space="preserve">Tuần: 18
</t>
  </si>
  <si>
    <t>Chỉnh lại form SendMessToAsset (bắt trường hợp nhấn gửi khi không chọn Mess nào, thêm cột hiện trạng thái sau gửi, chỉnh lại nút làm mới)</t>
  </si>
  <si>
    <t>Chỉnh lại form SendMessToAsset (Hiện thị Mess dưới dạng Json). Đọc tài liệu và tìm hiểu về crystal report</t>
  </si>
  <si>
    <t>Làm crystal report(báo cáo tổng hợp số dư ký quỹ)</t>
  </si>
  <si>
    <t>Làm API lấy dữ liệu từ sp (marp.spmarp_debit_by_stock_get db marp) trên LoansMarp và  sp(mamo.spmamo_debit_by_stock_get db mamo) trên LoansMamo. Làm giao diện form báo cáo tương ứng</t>
  </si>
  <si>
    <t>Chỉnh lại những lỗi còn sót của form SendMessToAsset và báo cáo và nộp. Sửa lại Api và hoàn thiện giao diện form DetaiAndDebitReprot</t>
  </si>
  <si>
    <t xml:space="preserve">Tuần: 19
</t>
  </si>
  <si>
    <t>Hoàn thiện các chức năng của form DetaiAndDebitReprot. Chiều nghỉ.</t>
  </si>
  <si>
    <t xml:space="preserve">Người hướng dẫn kiểm tra lại form. Sửa lại hàm btnReset_Click, thêm hiện số bản ghi tìm được. Nghỉ chiều </t>
  </si>
  <si>
    <t>Sửa lỗi sau khi nhấn suất file excel. Và đẩy code lên.</t>
  </si>
  <si>
    <t>Đọc và tìm hiểu thuật toán của xuất file excel</t>
  </si>
  <si>
    <t>Đọc và tìm hiểu thuật toán của GridViewPagingControl</t>
  </si>
  <si>
    <t xml:space="preserve">Tuần: 20
</t>
  </si>
  <si>
    <t>Làm các chức năng trong form (Chọn file,Import file, làm mới ). Thêm trường ClientName trong sp tra cứu số lượng và dư nợ cho vay theo mã CK của từng KH, sửa lại API và form tương ứng.</t>
  </si>
  <si>
    <t>Chuyển 2 form API REQUEST TOOL (CCTC) và GỬI MESSAGE ĐẾN TOPIC KAFKA từ Ezprocessing sang EzLoans</t>
  </si>
  <si>
    <t>Tìm và sửa lỗi bị disable nút sau khi suất file excel của các form của EzMargin</t>
  </si>
  <si>
    <t>Người giám sát kiểm tra và sửa lỗi còn tồn tại. Làm giao diện form điều chỉnh hạn mức margin đặc biệt</t>
  </si>
  <si>
    <t xml:space="preserve">Tuần: 21
</t>
  </si>
  <si>
    <t xml:space="preserve">Tuần: 22
</t>
  </si>
  <si>
    <t xml:space="preserve"> Đẩy form API REQUEST TOOL (CCTC) và GỬI MESSAGE ĐẾN TOPIC KAFKA và CÂP NHẬT SỨC MƯA CHỨNG KHOÁN lên bản test .Làm giao diện form điều chỉnh hạn mức margin đặc biệt</t>
  </si>
  <si>
    <t xml:space="preserve">Code hàm nút làm mới và xuất excel cho form điều chỉnh hạn mức margin đặc biệt </t>
  </si>
  <si>
    <t xml:space="preserve">Code hàm nút tìm kiếm cho form điều chỉnh hạn mức margin đặc biệt </t>
  </si>
  <si>
    <t>Sửa logic và thêm cột hiện trạng thái sau cấp nhật cho form điều chỉnh hạn mức margin đặc biệt.</t>
  </si>
  <si>
    <t>hoàn thiện nốt phần lấy vốn của form điều chỉnh hạn mức đặc biệt</t>
  </si>
  <si>
    <t>Đẩy code form điều chỉnh hạn mức đặc biệt lên bản test 7.86. Sửa lỗi làm tròn của cột điều chỉnh hạn mức trong form</t>
  </si>
  <si>
    <t xml:space="preserve">sửa các lỗi còn của form điều chỉnh hạn mức đặc biêt (nút tìm kiếm phải nhấn 2 lần, check ngày làm việc, gửi sai hạn mức cho acc), thêm note % cho mục điều chỉnh hạn </t>
  </si>
  <si>
    <t>Đẩy form điều chỉnh hạn mức đặc biết lên bản UAT (7.89)</t>
  </si>
  <si>
    <t xml:space="preserve">Tuần: 23
</t>
  </si>
  <si>
    <t>đọc và tìm hiểu các sp trong marp_test</t>
  </si>
  <si>
    <t>Đọc và tìm hiểu các sp trong marp_test</t>
  </si>
  <si>
    <t>Đọc và nghiên cưu về code xử lý trong GridViewPager</t>
  </si>
  <si>
    <t>Đọc và tìm hiểu các sp trong marp_tes. Nghỉ chiều</t>
  </si>
  <si>
    <t xml:space="preserve">Tìm hiểu về docker. Đọc và nghiên cứu về code trong phần Header </t>
  </si>
  <si>
    <t xml:space="preserve">Tuần: 24
</t>
  </si>
  <si>
    <t>Tìm lỗi còn sót của form.                    Nghỉ chiều.</t>
  </si>
  <si>
    <t>Code hàm nút cập nhật cho form điều chỉnh hạn mức margin đặc biệt.   Nghỉ chiều</t>
  </si>
  <si>
    <t>Làm giao diện form cập nhật sức mua chứng khoán trên EzLoans.              Nghỉ buổi chiều</t>
  </si>
  <si>
    <t>Tạo Cụm fitthuctap14 với địa chỉ Host tại máy mình (10.26.4.44:9092). Test gửi mess đến (thành công)</t>
  </si>
  <si>
    <t>Đọc và tìm hiểu các sp trong mamo_test. thêm định dạng số nhập vào của form điều chỉnh hạn mực đặc biệt</t>
  </si>
  <si>
    <t>Đọc và tìm hiểu các sp trong mamo_test.    Nghỉ chiều</t>
  </si>
  <si>
    <t>Sửa lại giao diện và làm mới textbox khi thay đổi lựa chọn của form điều chỉnh hạn mức đặc biệt</t>
  </si>
  <si>
    <t xml:space="preserve">Tuần: 25
</t>
  </si>
  <si>
    <t xml:space="preserve">Đọc và tìm hiểu các sp trong mamo_test. </t>
  </si>
  <si>
    <t>Đọc và tìm hiểu các sp trong mamo_test. Tìm hiểu qua về phần pttk của Parameters_MarMor_2024</t>
  </si>
  <si>
    <t>Sửa lại code phần cập nhật (Hiện thị số tài khoản cập nhật thành công theo số tài khoản chọn, thêm hiện lỗi khi thất bại, bỏ trạng thái của lần cập nhật cũ) đẩy lên bản 89</t>
  </si>
  <si>
    <t>Nghỉ sáng.                      Tìm hiểu và thực hiện tạo biểu đồ bằng js(Chart.js, Highcharts, ApexCharts).</t>
  </si>
  <si>
    <t>Đọc và nghiên cứu code các trong LoansMarp.</t>
  </si>
  <si>
    <t>Nghỉ lễ</t>
  </si>
  <si>
    <t>Tạo biểu đồ với lightweight-charts ( thêm các chỉ báo)</t>
  </si>
  <si>
    <t>Tạo biểu đồ với lightweight-charts (thực hiên gộp nên, thêm các chỉ báo)</t>
  </si>
  <si>
    <t xml:space="preserve">Nghỉ sáng                     Đọc và nghiên cứu code trong EzProcessing           </t>
  </si>
  <si>
    <t xml:space="preserve"> Đọc và nghiên cứu code trong EzProcessing           </t>
  </si>
  <si>
    <t>Tạo biểu đồ thông kê giá trị dòng với ApexCharts</t>
  </si>
  <si>
    <t>Tạo biểu đồ với lightweight-charts ( thêm các chỉ báo RSI, MACD, SAR)</t>
  </si>
  <si>
    <t>Tạo API lấy danh sách hạn mức từ sp spmarp_quota_special_get</t>
  </si>
  <si>
    <t>Xem lại code form điều chỉnh hạn mức xem có bỏ được binding redirects không (Không vì Npgsql 5.0.18.0 không hỗ trợ các thư viên đó ở phiên bản cao hơn, không cài bản Npgsql cao hơn vì đạng sử dụng .NET Framework 4.7)</t>
  </si>
  <si>
    <t>Dựng Kafka ui bằng Docker Compose. Tạo Cụm FPTS (10.26.7.58:9092,10.26.7.59:9092,10.26.7.60:9092)</t>
  </si>
  <si>
    <t>Thử tạo giao diện trang báo cáo tài sản                  Nghỉ chiều</t>
  </si>
  <si>
    <t xml:space="preserve">Thử tạo giao diện trang báo cáo tài sản                  </t>
  </si>
  <si>
    <t>Nghiên cứu API Query Parameters (pagination, Caching)                                 Nghỉ chiều.</t>
  </si>
  <si>
    <t xml:space="preserve">Tuần: 26
</t>
  </si>
  <si>
    <t xml:space="preserve">Tuần: 27
</t>
  </si>
  <si>
    <t>Nghiên cứu code gia hạn, trả nợ</t>
  </si>
  <si>
    <t>Nghiên cứu code cầm cố, gia hạn</t>
  </si>
  <si>
    <t xml:space="preserve">Tìm hiểu nghiệp vụ của mua, bán CK trên web, cầm cố, gia hạn, trả nợ bản dev. </t>
  </si>
  <si>
    <t xml:space="preserve">Tuần: 28
</t>
  </si>
  <si>
    <t>Tìm hiểu consume, tạo consume lấy mess và sử lý mes nhân được</t>
  </si>
  <si>
    <t>tìm hiểu xem 3 file consume trong LoansMamo</t>
  </si>
  <si>
    <t xml:space="preserve">tạo bảng tnova_psc06, tnova_tienc06, tnova_ckc06, tnova_KHC06. Tạo sp spnova_bcc06_check (Kiểm tra xem có người đang lấy báo cáo không) và sp spnova_bcc06_log   </t>
  </si>
  <si>
    <t xml:space="preserve">Nghỉ </t>
  </si>
  <si>
    <t>Nghỉ sáng.                       Tìm hiểu xem 3 file consume trong LoansMamo</t>
  </si>
  <si>
    <t>Nghỉ sáng.                       Đọc và nghiên cứu PT_BCC06 của P_NOVA. Làm giao diện của form.</t>
  </si>
  <si>
    <t xml:space="preserve">Tuần: 29
</t>
  </si>
  <si>
    <t>Làm giao diện form báo cáo C06 danh sách thông tin khách hàng, Code sử lý nút làm mới.</t>
  </si>
  <si>
    <t>Tạo sp insert dữ liệu khách hàng lấy từ sp ezopen.spopen_getacclist_bydate theo object. Sp spnova_tonghop_BCC06_get</t>
  </si>
  <si>
    <t xml:space="preserve">Code Xử lý phần check và phần ghi log bắt bắt đầu. Các hàm gọi vàlấy dữ liệu từ ezopen.spopen_getacclist_bydate, spnova_bcc06_check, spnova_bcc06_log    .  </t>
  </si>
  <si>
    <t>Code hàm gọi và lấy dữ liệu từ các sp spnova_tonghop_BCC06_get, spnova_bcc06_insert_KHC06, tổng hợp dư liệu và xuất dư liệu ra.</t>
  </si>
  <si>
    <t xml:space="preserve">Chỉnh lại code cho phù hợp với thư muc, làm menu và đẩy code lên 7.86 </t>
  </si>
  <si>
    <t xml:space="preserve">Tuần: 30
</t>
  </si>
  <si>
    <t>Làm giào diện form thu phí khác, code xử lý insert (thu phí dùng spfee_feeothers_i) và get dữ liệu dùng spfee_feeothers_get</t>
  </si>
  <si>
    <t>Sửa sp ( gộp sp check và log begin, thêm sp log finish)                                  Nghỉ chiều</t>
  </si>
  <si>
    <t xml:space="preserve">Tinh chỉnh lại code </t>
  </si>
  <si>
    <t xml:space="preserve">Sửa lại lỗi code (xung đội giữa 2 phiên) và sử sp (thêm cột aimportdate cho bảng KH) </t>
  </si>
  <si>
    <t>Đẩy code form BCC06 lên krxuat. Đọc qua code của EzFee.</t>
  </si>
  <si>
    <t xml:space="preserve">Tuần: 31
</t>
  </si>
  <si>
    <t>Code xử lý update (dùng sp spfee_feeothers_u), xuất file excel và làm mới</t>
  </si>
  <si>
    <t>Rà soát lỗi và sửa lỗi. Đẩy lên test và uat</t>
  </si>
  <si>
    <t>Thêm phần xóa (dùng sp spfee_feeothers_del) với cột ngày thu với chỉnh cho nó nhập thêm phần thập của form thu phí</t>
  </si>
  <si>
    <t xml:space="preserve">Tuần: 32
</t>
  </si>
  <si>
    <t xml:space="preserve">Tuần: 33
</t>
  </si>
  <si>
    <t xml:space="preserve">Tuần: 34
</t>
  </si>
  <si>
    <t xml:space="preserve">Sửa lại định dạng báo cáo thực thu lưu ký (LK09) </t>
  </si>
  <si>
    <t>Debug nut update của form thiết lập mã chứng khoán                                Nghỉ chiều</t>
  </si>
  <si>
    <t>Sửa lại báo cáo công nộ</t>
  </si>
  <si>
    <t>Sửa lại báo cáo LK14 bỏ thêm cột VAT</t>
  </si>
  <si>
    <t>Sửa loại form API Request Tool của ezLoan khi chuối trả về quá lớn thì xuất thành một file.                  Nghỉ chiều</t>
  </si>
  <si>
    <t>Xem và tinh chỉnh lại code của form cảnh báo mã CK theo VCHS v0.1</t>
  </si>
  <si>
    <t xml:space="preserve">Tìm hiểu về keycload </t>
  </si>
  <si>
    <t>Tìm hiểu React.js và xác định các Component trong một trang.</t>
  </si>
  <si>
    <t xml:space="preserve">Nghỉ sáng.                                       Review lại code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</si>
</sst>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 &quot;mmm"/>
    <numFmt numFmtId="165" formatCode="m&quot;/&quot;d"/>
    <numFmt numFmtId="166" formatCode="dd&quot;/&quot;mm"/>
    <numFmt numFmtId="167" formatCode="h&quot;:&quot;mm&quot; &quot;AM/PM&quot; &quot;"/>
  </numFmts>
  <fonts count="10">
    <font>
      <sz val="10"/>
      <color rgb="FF000000"/>
      <name val="Arial"/>
      <scheme val="minor"/>
    </font>
    <font>
      <sz val="16"/>
      <color rgb="FF006100"/>
      <name val="Calibri"/>
      <family val="2"/>
    </font>
    <font>
      <sz val="10"/>
      <name val="Arial"/>
      <family val="2"/>
    </font>
    <font>
      <sz val="10"/>
      <color rgb="FF666666"/>
      <name val="Roboto"/>
    </font>
    <font>
      <sz val="10"/>
      <color rgb="FF434343"/>
      <name val="Roboto"/>
    </font>
    <font>
      <b/>
      <sz val="11"/>
      <color rgb="FF434343"/>
      <name val="Roboto"/>
    </font>
    <font>
      <sz val="10"/>
      <color theme="1"/>
      <name val="Roboto"/>
    </font>
    <font>
      <sz val="10"/>
      <color rgb="FF555555"/>
      <name val="Roboto"/>
    </font>
    <font>
      <b/>
      <sz val="10"/>
      <color rgb="FF555555"/>
      <name val="Roboto"/>
    </font>
    <font>
      <sz val="16"/>
      <color rgb="FF006100"/>
      <name val="Calibri"/>
      <family val="2"/>
    </font>
  </fonts>
  <fills count="4">
    <fill>
      <patternFill patternType="none"/>
    </fill>
    <fill>
      <patternFill patternType="gray125"/>
    </fill>
    <fill>
      <patternFill patternType="solid">
        <fgColor rgb="FFC6EFCE"/>
        <bgColor rgb="FFC6EFCE"/>
      </patternFill>
    </fill>
    <fill>
      <patternFill patternType="solid">
        <fgColor rgb="FFF3F3F3"/>
        <bgColor rgb="FFF3F3F3"/>
      </patternFill>
    </fill>
  </fills>
  <borders count="10">
    <border>
      <left/>
      <right/>
      <top/>
      <bottom/>
      <diagonal/>
    </border>
    <border>
      <left style="thin">
        <color rgb="FF004D40"/>
      </left>
      <right/>
      <top/>
      <bottom/>
      <diagonal/>
    </border>
    <border>
      <left/>
      <right/>
      <top/>
      <bottom/>
      <diagonal/>
    </border>
    <border>
      <left/>
      <right/>
      <top/>
      <bottom/>
      <diagonal/>
    </border>
    <border>
      <left/>
      <right/>
      <top/>
      <bottom/>
      <diagonal/>
    </border>
    <border>
      <left/>
      <right/>
      <top/>
      <bottom/>
      <diagonal/>
    </border>
    <border>
      <left/>
      <right style="thin">
        <color rgb="FF004D40"/>
      </right>
      <top/>
      <bottom/>
      <diagonal/>
    </border>
    <border>
      <left/>
      <right/>
      <top/>
      <bottom style="thin">
        <color rgb="FFD9D9D9"/>
      </bottom>
      <diagonal/>
    </border>
    <border>
      <left/>
      <right style="thin">
        <color rgb="FFD9D9D9"/>
      </right>
      <top/>
      <bottom/>
      <diagonal/>
    </border>
    <border>
      <left/>
      <right style="thin">
        <color rgb="FFD9D9D9"/>
      </right>
      <top/>
      <bottom style="thin">
        <color rgb="FFF3F3F3"/>
      </bottom>
      <diagonal/>
    </border>
  </borders>
  <cellStyleXfs count="1">
    <xf numFmtId="0" fontId="0" fillId="0" borderId="0"/>
  </cellStyleXfs>
  <cellXfs count="29">
    <xf numFmtId="0" fontId="0" fillId="0" borderId="0" xfId="0" applyFont="1" applyAlignment="1"/>
    <xf numFmtId="0" fontId="1" fillId="2" borderId="1" xfId="0" applyFont="1" applyFill="1" applyBorder="1" applyAlignment="1">
      <alignment horizontal="left" vertical="top"/>
    </xf>
    <xf numFmtId="0" fontId="1" fillId="2" borderId="2" xfId="0" applyFont="1" applyFill="1" applyBorder="1" applyAlignment="1">
      <alignment horizontal="left" vertical="top" wrapText="1"/>
    </xf>
    <xf numFmtId="164" fontId="1" fillId="2" borderId="2" xfId="0" applyNumberFormat="1" applyFont="1" applyFill="1" applyBorder="1" applyAlignment="1">
      <alignment horizontal="left" vertical="top"/>
    </xf>
    <xf numFmtId="165" fontId="1" fillId="2" borderId="2" xfId="0" applyNumberFormat="1" applyFont="1" applyFill="1" applyBorder="1" applyAlignment="1">
      <alignment horizontal="left" vertical="top"/>
    </xf>
    <xf numFmtId="0" fontId="1" fillId="2" borderId="6" xfId="0" applyFont="1" applyFill="1" applyBorder="1" applyAlignment="1">
      <alignment horizontal="left" vertical="top"/>
    </xf>
    <xf numFmtId="0" fontId="1" fillId="2" borderId="2" xfId="0" applyFont="1" applyFill="1" applyBorder="1"/>
    <xf numFmtId="165" fontId="3" fillId="0" borderId="0" xfId="0" applyNumberFormat="1" applyFont="1"/>
    <xf numFmtId="166" fontId="3" fillId="0" borderId="0" xfId="0" applyNumberFormat="1" applyFont="1" applyAlignment="1">
      <alignment horizontal="center"/>
    </xf>
    <xf numFmtId="0" fontId="4" fillId="0" borderId="0" xfId="0" applyFont="1"/>
    <xf numFmtId="0" fontId="5" fillId="0" borderId="7" xfId="0" applyFont="1" applyBorder="1" applyAlignment="1">
      <alignment horizontal="center" vertical="top"/>
    </xf>
    <xf numFmtId="0" fontId="6" fillId="0" borderId="8" xfId="0" applyFont="1" applyBorder="1" applyAlignment="1">
      <alignment vertical="center"/>
    </xf>
    <xf numFmtId="167" fontId="4" fillId="3" borderId="9" xfId="0" applyNumberFormat="1" applyFont="1" applyFill="1" applyBorder="1" applyAlignment="1">
      <alignment horizontal="right" vertical="center" wrapText="1"/>
    </xf>
    <xf numFmtId="0" fontId="7" fillId="3" borderId="9" xfId="0" applyFont="1" applyFill="1" applyBorder="1" applyAlignment="1">
      <alignment vertical="center" wrapText="1"/>
    </xf>
    <xf numFmtId="0" fontId="8" fillId="3" borderId="9" xfId="0" applyFont="1" applyFill="1" applyBorder="1" applyAlignment="1">
      <alignment vertical="center" wrapText="1"/>
    </xf>
    <xf numFmtId="0" fontId="7" fillId="3" borderId="9" xfId="0" quotePrefix="1" applyFont="1" applyFill="1" applyBorder="1" applyAlignment="1">
      <alignment vertical="center" wrapText="1"/>
    </xf>
    <xf numFmtId="0" fontId="7" fillId="0" borderId="0" xfId="0" applyFont="1" applyAlignment="1">
      <alignment vertical="center"/>
    </xf>
    <xf numFmtId="0" fontId="7" fillId="3" borderId="9" xfId="0" applyFont="1" applyFill="1" applyBorder="1" applyAlignment="1">
      <alignment vertical="center" wrapText="1"/>
    </xf>
    <xf numFmtId="0" fontId="7" fillId="3" borderId="9" xfId="0" applyFont="1" applyFill="1" applyBorder="1" applyAlignment="1">
      <alignment vertical="center" wrapText="1"/>
    </xf>
    <xf numFmtId="0" fontId="7" fillId="3" borderId="9" xfId="0" applyFont="1" applyFill="1" applyBorder="1" applyAlignment="1">
      <alignment vertical="center" wrapText="1"/>
    </xf>
    <xf numFmtId="0" fontId="1" fillId="2" borderId="5" xfId="0" applyFont="1" applyFill="1" applyBorder="1" applyAlignment="1">
      <alignment horizontal="left" vertical="top" wrapText="1"/>
    </xf>
    <xf numFmtId="164" fontId="1" fillId="2" borderId="5" xfId="0" applyNumberFormat="1" applyFont="1" applyFill="1" applyBorder="1" applyAlignment="1">
      <alignment horizontal="left" vertical="top"/>
    </xf>
    <xf numFmtId="165" fontId="1" fillId="2" borderId="5" xfId="0" applyNumberFormat="1" applyFont="1" applyFill="1" applyBorder="1" applyAlignment="1">
      <alignment horizontal="left" vertical="top"/>
    </xf>
    <xf numFmtId="0" fontId="9" fillId="2" borderId="5" xfId="0" applyFont="1" applyFill="1" applyBorder="1" applyAlignment="1">
      <alignment horizontal="left" vertical="top" wrapText="1"/>
    </xf>
    <xf numFmtId="167" fontId="4" fillId="3" borderId="9" xfId="0" applyNumberFormat="1" applyFont="1" applyFill="1" applyBorder="1" applyAlignment="1">
      <alignment horizontal="left" vertical="center" wrapText="1"/>
    </xf>
    <xf numFmtId="0" fontId="1" fillId="2" borderId="5" xfId="0" applyFont="1" applyFill="1" applyBorder="1" applyAlignment="1">
      <alignment horizontal="right" vertical="top"/>
    </xf>
    <xf numFmtId="0" fontId="2" fillId="0" borderId="5" xfId="0" applyFont="1" applyBorder="1"/>
    <xf numFmtId="0" fontId="1" fillId="2" borderId="3" xfId="0" applyFont="1" applyFill="1" applyBorder="1" applyAlignment="1">
      <alignment horizontal="right" vertical="top"/>
    </xf>
    <xf numFmtId="0" fontId="2"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F1000"/>
  <sheetViews>
    <sheetView showGridLines="0" tabSelected="1" topLeftCell="A265" zoomScaleNormal="100" workbookViewId="0">
      <selection activeCell="G284" sqref="G284"/>
    </sheetView>
  </sheetViews>
  <sheetFormatPr defaultColWidth="12.5703125" defaultRowHeight="15" customHeight="1"/>
  <cols>
    <col min="1" max="1" width="2.7109375" customWidth="1"/>
    <col min="2" max="2" width="14.28515625" customWidth="1"/>
    <col min="3" max="3" width="10.5703125" bestFit="1" customWidth="1"/>
    <col min="4" max="4" width="22.5703125" customWidth="1"/>
    <col min="5" max="5" width="21" customWidth="1"/>
    <col min="6" max="6" width="21.7109375" customWidth="1"/>
    <col min="7" max="7" width="20" customWidth="1"/>
    <col min="8" max="8" width="23.7109375" customWidth="1"/>
    <col min="9" max="9" width="12.5703125" bestFit="1" customWidth="1"/>
    <col min="10" max="10" width="2.7109375" customWidth="1"/>
    <col min="11" max="26" width="12.7109375" customWidth="1"/>
  </cols>
  <sheetData>
    <row r="1" spans="1:26" ht="22.5" customHeight="1">
      <c r="A1" s="1"/>
      <c r="B1" s="2" t="s">
        <v>0</v>
      </c>
      <c r="C1" s="3">
        <v>45571</v>
      </c>
      <c r="D1" s="4"/>
      <c r="E1" s="27"/>
      <c r="F1" s="28"/>
      <c r="G1" s="28"/>
      <c r="H1" s="28"/>
      <c r="I1" s="26"/>
      <c r="J1" s="5"/>
      <c r="K1" s="6"/>
      <c r="L1" s="6"/>
      <c r="M1" s="6"/>
      <c r="N1" s="6"/>
      <c r="O1" s="6"/>
      <c r="P1" s="6"/>
      <c r="Q1" s="6"/>
      <c r="R1" s="6"/>
      <c r="S1" s="6"/>
      <c r="T1" s="6"/>
      <c r="U1" s="6"/>
      <c r="V1" s="6"/>
      <c r="W1" s="6"/>
      <c r="X1" s="6"/>
      <c r="Y1" s="6"/>
      <c r="Z1" s="6"/>
    </row>
    <row r="2" spans="1:26" ht="36" customHeight="1">
      <c r="A2" s="7"/>
      <c r="B2" s="7"/>
      <c r="C2" s="8">
        <f>C1</f>
        <v>45571</v>
      </c>
      <c r="D2" s="8">
        <f>C1+1</f>
        <v>45572</v>
      </c>
      <c r="E2" s="8">
        <f>C1+2</f>
        <v>45573</v>
      </c>
      <c r="F2" s="8">
        <f>C1+3</f>
        <v>45574</v>
      </c>
      <c r="G2" s="8">
        <f>C1+4</f>
        <v>45575</v>
      </c>
      <c r="H2" s="8">
        <f>C1+5</f>
        <v>45576</v>
      </c>
      <c r="I2" s="8">
        <f>C1+6</f>
        <v>45577</v>
      </c>
      <c r="J2" s="7"/>
    </row>
    <row r="3" spans="1:26" ht="22.5" customHeight="1">
      <c r="A3" s="9"/>
      <c r="C3" s="10" t="str">
        <f t="shared" ref="C3:I3" si="0">UPPER(TEXT(C2, "DDDD"))</f>
        <v>SUNDAY</v>
      </c>
      <c r="D3" s="10" t="str">
        <f t="shared" si="0"/>
        <v>MONDAY</v>
      </c>
      <c r="E3" s="10" t="str">
        <f t="shared" si="0"/>
        <v>TUESDAY</v>
      </c>
      <c r="F3" s="10" t="str">
        <f t="shared" si="0"/>
        <v>WEDNESDAY</v>
      </c>
      <c r="G3" s="10" t="str">
        <f t="shared" si="0"/>
        <v>THURSDAY</v>
      </c>
      <c r="H3" s="10" t="str">
        <f t="shared" si="0"/>
        <v>FRIDAY</v>
      </c>
      <c r="I3" s="10" t="str">
        <f t="shared" si="0"/>
        <v>SATURDAY</v>
      </c>
      <c r="J3" s="9"/>
    </row>
    <row r="4" spans="1:26" ht="107.25" customHeight="1">
      <c r="A4" s="11"/>
      <c r="B4" s="12"/>
      <c r="C4" s="13"/>
      <c r="D4" s="13"/>
      <c r="E4" s="13"/>
      <c r="F4" s="14" t="s">
        <v>1</v>
      </c>
      <c r="G4" s="13" t="s">
        <v>2</v>
      </c>
      <c r="H4" s="15" t="s">
        <v>3</v>
      </c>
      <c r="I4" s="13" t="s">
        <v>2</v>
      </c>
      <c r="J4" s="16"/>
    </row>
    <row r="5" spans="1:26" ht="15.75" customHeight="1"/>
    <row r="6" spans="1:26" ht="15.75" customHeight="1"/>
    <row r="7" spans="1:26" ht="15.75" customHeight="1"/>
    <row r="8" spans="1:26" ht="22.5" customHeight="1">
      <c r="A8" s="1"/>
      <c r="B8" s="2" t="s">
        <v>4</v>
      </c>
      <c r="C8" s="3">
        <v>45578</v>
      </c>
      <c r="D8" s="4"/>
      <c r="E8" s="27"/>
      <c r="F8" s="28"/>
      <c r="G8" s="28"/>
      <c r="H8" s="28"/>
      <c r="I8" s="26"/>
      <c r="J8" s="5"/>
      <c r="K8" s="6"/>
      <c r="L8" s="6"/>
      <c r="M8" s="6"/>
      <c r="N8" s="6"/>
      <c r="O8" s="6"/>
      <c r="P8" s="6"/>
      <c r="Q8" s="6"/>
      <c r="R8" s="6"/>
      <c r="S8" s="6"/>
      <c r="T8" s="6"/>
      <c r="U8" s="6"/>
      <c r="V8" s="6"/>
      <c r="W8" s="6"/>
      <c r="X8" s="6"/>
      <c r="Y8" s="6"/>
      <c r="Z8" s="6"/>
    </row>
    <row r="9" spans="1:26" ht="36" customHeight="1">
      <c r="A9" s="7"/>
      <c r="B9" s="7"/>
      <c r="C9" s="8">
        <f>C8</f>
        <v>45578</v>
      </c>
      <c r="D9" s="8">
        <f>C8+1</f>
        <v>45579</v>
      </c>
      <c r="E9" s="8">
        <f>C8+2</f>
        <v>45580</v>
      </c>
      <c r="F9" s="8">
        <f>C8+3</f>
        <v>45581</v>
      </c>
      <c r="G9" s="8">
        <f>C8+4</f>
        <v>45582</v>
      </c>
      <c r="H9" s="8">
        <f>C8+5</f>
        <v>45583</v>
      </c>
      <c r="I9" s="8">
        <f>C8+6</f>
        <v>45584</v>
      </c>
      <c r="J9" s="7"/>
    </row>
    <row r="10" spans="1:26" ht="22.5" customHeight="1">
      <c r="A10" s="9"/>
      <c r="C10" s="10" t="str">
        <f t="shared" ref="C10:I10" si="1">UPPER(TEXT(C9, "DDDD"))</f>
        <v>SUNDAY</v>
      </c>
      <c r="D10" s="10" t="str">
        <f t="shared" si="1"/>
        <v>MONDAY</v>
      </c>
      <c r="E10" s="10" t="str">
        <f t="shared" si="1"/>
        <v>TUESDAY</v>
      </c>
      <c r="F10" s="10" t="str">
        <f t="shared" si="1"/>
        <v>WEDNESDAY</v>
      </c>
      <c r="G10" s="10" t="str">
        <f t="shared" si="1"/>
        <v>THURSDAY</v>
      </c>
      <c r="H10" s="10" t="str">
        <f t="shared" si="1"/>
        <v>FRIDAY</v>
      </c>
      <c r="I10" s="10" t="str">
        <f t="shared" si="1"/>
        <v>SATURDAY</v>
      </c>
      <c r="J10" s="9"/>
    </row>
    <row r="11" spans="1:26" ht="89.25">
      <c r="A11" s="11"/>
      <c r="B11" s="12"/>
      <c r="C11" s="13" t="s">
        <v>2</v>
      </c>
      <c r="D11" s="15" t="s">
        <v>5</v>
      </c>
      <c r="E11" s="15" t="s">
        <v>6</v>
      </c>
      <c r="F11" s="15" t="s">
        <v>7</v>
      </c>
      <c r="G11" s="13" t="s">
        <v>2</v>
      </c>
      <c r="H11" s="15" t="s">
        <v>8</v>
      </c>
      <c r="I11" s="13" t="s">
        <v>2</v>
      </c>
      <c r="J11" s="16"/>
    </row>
    <row r="12" spans="1:26" ht="15.75" customHeight="1"/>
    <row r="13" spans="1:26" ht="15.75" customHeight="1"/>
    <row r="14" spans="1:26" ht="15.75" customHeight="1"/>
    <row r="15" spans="1:26" ht="22.5" customHeight="1">
      <c r="A15" s="1"/>
      <c r="B15" s="2" t="s">
        <v>9</v>
      </c>
      <c r="C15" s="3">
        <v>45585</v>
      </c>
      <c r="D15" s="4"/>
      <c r="E15" s="27"/>
      <c r="F15" s="28"/>
      <c r="G15" s="28"/>
      <c r="H15" s="28"/>
      <c r="I15" s="26"/>
      <c r="J15" s="5"/>
      <c r="K15" s="6"/>
      <c r="L15" s="6"/>
      <c r="M15" s="6"/>
      <c r="N15" s="6"/>
      <c r="O15" s="6"/>
      <c r="P15" s="6"/>
      <c r="Q15" s="6"/>
      <c r="R15" s="6"/>
      <c r="S15" s="6"/>
      <c r="T15" s="6"/>
      <c r="U15" s="6"/>
      <c r="V15" s="6"/>
      <c r="W15" s="6"/>
      <c r="X15" s="6"/>
      <c r="Y15" s="6"/>
      <c r="Z15" s="6"/>
    </row>
    <row r="16" spans="1:26" ht="36" customHeight="1">
      <c r="A16" s="7"/>
      <c r="B16" s="7"/>
      <c r="C16" s="8">
        <f>C15</f>
        <v>45585</v>
      </c>
      <c r="D16" s="8">
        <f>C15+1</f>
        <v>45586</v>
      </c>
      <c r="E16" s="8">
        <f>C15+2</f>
        <v>45587</v>
      </c>
      <c r="F16" s="8">
        <f>C15+3</f>
        <v>45588</v>
      </c>
      <c r="G16" s="8">
        <f>C15+4</f>
        <v>45589</v>
      </c>
      <c r="H16" s="8">
        <f>C15+5</f>
        <v>45590</v>
      </c>
      <c r="I16" s="8">
        <f>C15+6</f>
        <v>45591</v>
      </c>
      <c r="J16" s="7"/>
    </row>
    <row r="17" spans="1:26" ht="22.5" customHeight="1">
      <c r="A17" s="9"/>
      <c r="C17" s="10" t="str">
        <f t="shared" ref="C17:I17" si="2">UPPER(TEXT(C16, "DDDD"))</f>
        <v>SUNDAY</v>
      </c>
      <c r="D17" s="10" t="str">
        <f t="shared" si="2"/>
        <v>MONDAY</v>
      </c>
      <c r="E17" s="10" t="str">
        <f t="shared" si="2"/>
        <v>TUESDAY</v>
      </c>
      <c r="F17" s="10" t="str">
        <f t="shared" si="2"/>
        <v>WEDNESDAY</v>
      </c>
      <c r="G17" s="10" t="str">
        <f t="shared" si="2"/>
        <v>THURSDAY</v>
      </c>
      <c r="H17" s="10" t="str">
        <f t="shared" si="2"/>
        <v>FRIDAY</v>
      </c>
      <c r="I17" s="10" t="str">
        <f t="shared" si="2"/>
        <v>SATURDAY</v>
      </c>
      <c r="J17" s="9"/>
    </row>
    <row r="18" spans="1:26" ht="66.75" customHeight="1">
      <c r="A18" s="11"/>
      <c r="B18" s="12"/>
      <c r="C18" s="13" t="s">
        <v>2</v>
      </c>
      <c r="D18" s="15" t="s">
        <v>10</v>
      </c>
      <c r="E18" s="15" t="s">
        <v>11</v>
      </c>
      <c r="F18" s="15" t="s">
        <v>12</v>
      </c>
      <c r="G18" s="13" t="s">
        <v>2</v>
      </c>
      <c r="H18" s="15" t="s">
        <v>13</v>
      </c>
      <c r="I18" s="13" t="s">
        <v>2</v>
      </c>
      <c r="J18" s="16"/>
    </row>
    <row r="19" spans="1:26" ht="15.75" customHeight="1"/>
    <row r="20" spans="1:26" ht="15.75" customHeight="1"/>
    <row r="21" spans="1:26" ht="15.75" customHeight="1"/>
    <row r="22" spans="1:26" ht="22.5" customHeight="1">
      <c r="A22" s="1"/>
      <c r="B22" s="2" t="s">
        <v>14</v>
      </c>
      <c r="C22" s="3">
        <v>45592</v>
      </c>
      <c r="D22" s="4"/>
      <c r="E22" s="27"/>
      <c r="F22" s="28"/>
      <c r="G22" s="28"/>
      <c r="H22" s="28"/>
      <c r="I22" s="26"/>
      <c r="J22" s="5"/>
      <c r="K22" s="6"/>
      <c r="L22" s="6"/>
      <c r="M22" s="6"/>
      <c r="N22" s="6"/>
      <c r="O22" s="6"/>
      <c r="P22" s="6"/>
      <c r="Q22" s="6"/>
      <c r="R22" s="6"/>
      <c r="S22" s="6"/>
      <c r="T22" s="6"/>
      <c r="U22" s="6"/>
      <c r="V22" s="6"/>
      <c r="W22" s="6"/>
      <c r="X22" s="6"/>
      <c r="Y22" s="6"/>
      <c r="Z22" s="6"/>
    </row>
    <row r="23" spans="1:26" ht="36" customHeight="1">
      <c r="A23" s="7"/>
      <c r="B23" s="7"/>
      <c r="C23" s="8">
        <f>C22</f>
        <v>45592</v>
      </c>
      <c r="D23" s="8">
        <f>C22+1</f>
        <v>45593</v>
      </c>
      <c r="E23" s="8">
        <f>C22+2</f>
        <v>45594</v>
      </c>
      <c r="F23" s="8">
        <f>C22+3</f>
        <v>45595</v>
      </c>
      <c r="G23" s="8">
        <f>C22+4</f>
        <v>45596</v>
      </c>
      <c r="H23" s="8">
        <f>C22+5</f>
        <v>45597</v>
      </c>
      <c r="I23" s="8">
        <f>C22+6</f>
        <v>45598</v>
      </c>
      <c r="J23" s="7"/>
    </row>
    <row r="24" spans="1:26" ht="22.5" customHeight="1">
      <c r="A24" s="9"/>
      <c r="C24" s="10" t="str">
        <f t="shared" ref="C24:I24" si="3">UPPER(TEXT(C23, "DDDD"))</f>
        <v>SUNDAY</v>
      </c>
      <c r="D24" s="10" t="str">
        <f t="shared" si="3"/>
        <v>MONDAY</v>
      </c>
      <c r="E24" s="10" t="str">
        <f t="shared" si="3"/>
        <v>TUESDAY</v>
      </c>
      <c r="F24" s="10" t="str">
        <f t="shared" si="3"/>
        <v>WEDNESDAY</v>
      </c>
      <c r="G24" s="10" t="str">
        <f t="shared" si="3"/>
        <v>THURSDAY</v>
      </c>
      <c r="H24" s="10" t="str">
        <f t="shared" si="3"/>
        <v>FRIDAY</v>
      </c>
      <c r="I24" s="10" t="str">
        <f t="shared" si="3"/>
        <v>SATURDAY</v>
      </c>
      <c r="J24" s="9"/>
    </row>
    <row r="25" spans="1:26" ht="98.25" customHeight="1">
      <c r="A25" s="11"/>
      <c r="B25" s="12"/>
      <c r="C25" s="13" t="s">
        <v>2</v>
      </c>
      <c r="D25" s="13" t="s">
        <v>15</v>
      </c>
      <c r="E25" s="13" t="s">
        <v>16</v>
      </c>
      <c r="F25" s="13" t="s">
        <v>17</v>
      </c>
      <c r="G25" s="13" t="s">
        <v>2</v>
      </c>
      <c r="H25" s="13" t="s">
        <v>18</v>
      </c>
      <c r="I25" s="13" t="s">
        <v>2</v>
      </c>
      <c r="J25" s="16"/>
    </row>
    <row r="26" spans="1:26" ht="15.75" customHeight="1"/>
    <row r="27" spans="1:26" ht="15.75" customHeight="1"/>
    <row r="28" spans="1:26" ht="15.75" customHeight="1"/>
    <row r="29" spans="1:26" ht="22.5" customHeight="1">
      <c r="A29" s="1"/>
      <c r="B29" s="2" t="s">
        <v>19</v>
      </c>
      <c r="C29" s="3">
        <v>45599</v>
      </c>
      <c r="D29" s="4"/>
      <c r="E29" s="27"/>
      <c r="F29" s="28"/>
      <c r="G29" s="28"/>
      <c r="H29" s="28"/>
      <c r="I29" s="26"/>
      <c r="J29" s="5"/>
      <c r="K29" s="6"/>
      <c r="L29" s="6"/>
      <c r="M29" s="6"/>
      <c r="N29" s="6"/>
      <c r="O29" s="6"/>
      <c r="P29" s="6"/>
      <c r="Q29" s="6"/>
      <c r="R29" s="6"/>
      <c r="S29" s="6"/>
      <c r="T29" s="6"/>
      <c r="U29" s="6"/>
      <c r="V29" s="6"/>
      <c r="W29" s="6"/>
      <c r="X29" s="6"/>
      <c r="Y29" s="6"/>
      <c r="Z29" s="6"/>
    </row>
    <row r="30" spans="1:26" ht="36" customHeight="1">
      <c r="A30" s="7"/>
      <c r="B30" s="7"/>
      <c r="C30" s="8">
        <f>C29</f>
        <v>45599</v>
      </c>
      <c r="D30" s="8">
        <f>C29+1</f>
        <v>45600</v>
      </c>
      <c r="E30" s="8">
        <f>C29+2</f>
        <v>45601</v>
      </c>
      <c r="F30" s="8">
        <f>C29+3</f>
        <v>45602</v>
      </c>
      <c r="G30" s="8">
        <f>C29+4</f>
        <v>45603</v>
      </c>
      <c r="H30" s="8">
        <f>C29+5</f>
        <v>45604</v>
      </c>
      <c r="I30" s="8">
        <f>C29+6</f>
        <v>45605</v>
      </c>
      <c r="J30" s="7"/>
    </row>
    <row r="31" spans="1:26" ht="22.5" customHeight="1">
      <c r="A31" s="9"/>
      <c r="C31" s="10" t="str">
        <f t="shared" ref="C31:I31" si="4">UPPER(TEXT(C30, "DDDD"))</f>
        <v>SUNDAY</v>
      </c>
      <c r="D31" s="10" t="str">
        <f t="shared" si="4"/>
        <v>MONDAY</v>
      </c>
      <c r="E31" s="10" t="str">
        <f t="shared" si="4"/>
        <v>TUESDAY</v>
      </c>
      <c r="F31" s="10" t="str">
        <f t="shared" si="4"/>
        <v>WEDNESDAY</v>
      </c>
      <c r="G31" s="10" t="str">
        <f t="shared" si="4"/>
        <v>THURSDAY</v>
      </c>
      <c r="H31" s="10" t="str">
        <f t="shared" si="4"/>
        <v>FRIDAY</v>
      </c>
      <c r="I31" s="10" t="str">
        <f t="shared" si="4"/>
        <v>SATURDAY</v>
      </c>
      <c r="J31" s="9"/>
    </row>
    <row r="32" spans="1:26" ht="84.75" customHeight="1">
      <c r="A32" s="11"/>
      <c r="B32" s="12"/>
      <c r="C32" s="13" t="s">
        <v>2</v>
      </c>
      <c r="D32" s="13" t="s">
        <v>20</v>
      </c>
      <c r="E32" s="13" t="s">
        <v>21</v>
      </c>
      <c r="F32" s="13" t="s">
        <v>22</v>
      </c>
      <c r="G32" s="13" t="s">
        <v>2</v>
      </c>
      <c r="H32" s="17" t="s">
        <v>23</v>
      </c>
      <c r="I32" s="18" t="s">
        <v>2</v>
      </c>
      <c r="J32" s="16"/>
    </row>
    <row r="33" spans="1:32" ht="15.75" customHeight="1"/>
    <row r="34" spans="1:32" ht="15.75" customHeight="1"/>
    <row r="35" spans="1:32" ht="15.75" customHeight="1"/>
    <row r="36" spans="1:32" ht="22.5" customHeight="1">
      <c r="A36" s="1"/>
      <c r="B36" s="2" t="s">
        <v>24</v>
      </c>
      <c r="C36" s="3">
        <v>45606</v>
      </c>
      <c r="D36" s="4"/>
      <c r="E36" s="27"/>
      <c r="F36" s="28"/>
      <c r="G36" s="28"/>
      <c r="H36" s="28"/>
      <c r="I36" s="26"/>
      <c r="J36" s="5"/>
      <c r="K36" s="6"/>
      <c r="L36" s="6"/>
      <c r="M36" s="6"/>
      <c r="N36" s="6"/>
      <c r="O36" s="6"/>
      <c r="P36" s="6"/>
      <c r="Q36" s="6"/>
      <c r="R36" s="6"/>
      <c r="S36" s="6"/>
      <c r="T36" s="6"/>
      <c r="U36" s="6"/>
      <c r="V36" s="6"/>
      <c r="W36" s="6"/>
      <c r="X36" s="6"/>
      <c r="Y36" s="6"/>
      <c r="Z36" s="6"/>
    </row>
    <row r="37" spans="1:32" ht="36" customHeight="1">
      <c r="A37" s="7"/>
      <c r="B37" s="7"/>
      <c r="C37" s="8">
        <f>C36</f>
        <v>45606</v>
      </c>
      <c r="D37" s="8">
        <f>C36+1</f>
        <v>45607</v>
      </c>
      <c r="E37" s="8">
        <f>C36+2</f>
        <v>45608</v>
      </c>
      <c r="F37" s="8">
        <f>C36+3</f>
        <v>45609</v>
      </c>
      <c r="G37" s="8">
        <f>C36+4</f>
        <v>45610</v>
      </c>
      <c r="H37" s="8">
        <f>C36+5</f>
        <v>45611</v>
      </c>
      <c r="I37" s="8">
        <f>C36+6</f>
        <v>45612</v>
      </c>
      <c r="J37" s="7"/>
    </row>
    <row r="38" spans="1:32" ht="22.5" customHeight="1">
      <c r="A38" s="9"/>
      <c r="C38" s="10" t="str">
        <f t="shared" ref="C38:I38" si="5">UPPER(TEXT(C37, "DDDD"))</f>
        <v>SUNDAY</v>
      </c>
      <c r="D38" s="10" t="str">
        <f t="shared" si="5"/>
        <v>MONDAY</v>
      </c>
      <c r="E38" s="10" t="str">
        <f t="shared" si="5"/>
        <v>TUESDAY</v>
      </c>
      <c r="F38" s="10" t="str">
        <f t="shared" si="5"/>
        <v>WEDNESDAY</v>
      </c>
      <c r="G38" s="10" t="str">
        <f t="shared" si="5"/>
        <v>THURSDAY</v>
      </c>
      <c r="H38" s="10" t="str">
        <f t="shared" si="5"/>
        <v>FRIDAY</v>
      </c>
      <c r="I38" s="10" t="str">
        <f t="shared" si="5"/>
        <v>SATURDAY</v>
      </c>
      <c r="J38" s="9"/>
    </row>
    <row r="39" spans="1:32" ht="84" customHeight="1">
      <c r="A39" s="11"/>
      <c r="B39" s="12"/>
      <c r="C39" s="18" t="s">
        <v>2</v>
      </c>
      <c r="D39" s="19" t="s">
        <v>25</v>
      </c>
      <c r="E39" s="13" t="s">
        <v>26</v>
      </c>
      <c r="F39" s="13" t="s">
        <v>27</v>
      </c>
      <c r="G39" s="13" t="s">
        <v>2</v>
      </c>
      <c r="H39" s="13" t="s">
        <v>31</v>
      </c>
      <c r="I39" s="13" t="s">
        <v>2</v>
      </c>
      <c r="J39" s="16"/>
    </row>
    <row r="40" spans="1:32" ht="15.75" customHeight="1"/>
    <row r="41" spans="1:32" ht="15.75" customHeight="1"/>
    <row r="42" spans="1:32" ht="15.75" customHeight="1"/>
    <row r="43" spans="1:32" ht="15.75" customHeight="1"/>
    <row r="44" spans="1:32" ht="27.75" customHeight="1">
      <c r="A44" s="1"/>
      <c r="B44" s="2" t="s">
        <v>28</v>
      </c>
      <c r="C44" s="3">
        <v>45613</v>
      </c>
      <c r="D44" s="4"/>
      <c r="E44" s="27"/>
      <c r="F44" s="28"/>
      <c r="G44" s="28"/>
      <c r="H44" s="28"/>
      <c r="I44" s="26"/>
      <c r="J44" s="5"/>
      <c r="K44" s="6"/>
      <c r="L44" s="6"/>
      <c r="M44" s="6"/>
      <c r="N44" s="6"/>
      <c r="O44" s="6"/>
      <c r="P44" s="6"/>
      <c r="Q44" s="6"/>
      <c r="R44" s="6"/>
      <c r="S44" s="6"/>
      <c r="T44" s="6"/>
      <c r="U44" s="6"/>
      <c r="V44" s="6"/>
      <c r="W44" s="6"/>
      <c r="X44" s="6"/>
      <c r="Y44" s="6"/>
      <c r="Z44" s="6"/>
      <c r="AA44" s="6"/>
      <c r="AB44" s="6"/>
      <c r="AC44" s="6"/>
      <c r="AD44" s="6"/>
      <c r="AE44" s="6"/>
      <c r="AF44" s="6"/>
    </row>
    <row r="45" spans="1:32" ht="30" customHeight="1">
      <c r="A45" s="7"/>
      <c r="B45" s="7"/>
      <c r="C45" s="8">
        <f>C44</f>
        <v>45613</v>
      </c>
      <c r="D45" s="8">
        <f>C44+1</f>
        <v>45614</v>
      </c>
      <c r="E45" s="8">
        <f>C44+2</f>
        <v>45615</v>
      </c>
      <c r="F45" s="8">
        <f>C44+3</f>
        <v>45616</v>
      </c>
      <c r="G45" s="8">
        <f>C44+4</f>
        <v>45617</v>
      </c>
      <c r="H45" s="8">
        <f>C44+5</f>
        <v>45618</v>
      </c>
      <c r="I45" s="8">
        <f>C44+6</f>
        <v>45619</v>
      </c>
      <c r="J45" s="7"/>
    </row>
    <row r="46" spans="1:32" ht="15.75" customHeight="1">
      <c r="A46" s="9"/>
      <c r="C46" s="10" t="str">
        <f t="shared" ref="C46:I46" si="6">UPPER(TEXT(C45, "DDDD"))</f>
        <v>SUNDAY</v>
      </c>
      <c r="D46" s="10" t="str">
        <f t="shared" si="6"/>
        <v>MONDAY</v>
      </c>
      <c r="E46" s="10" t="str">
        <f t="shared" si="6"/>
        <v>TUESDAY</v>
      </c>
      <c r="F46" s="10" t="str">
        <f t="shared" si="6"/>
        <v>WEDNESDAY</v>
      </c>
      <c r="G46" s="10" t="str">
        <f t="shared" si="6"/>
        <v>THURSDAY</v>
      </c>
      <c r="H46" s="10" t="str">
        <f t="shared" si="6"/>
        <v>FRIDAY</v>
      </c>
      <c r="I46" s="10" t="str">
        <f t="shared" si="6"/>
        <v>SATURDAY</v>
      </c>
      <c r="J46" s="9"/>
    </row>
    <row r="47" spans="1:32" ht="76.5">
      <c r="A47" s="11"/>
      <c r="B47" s="12"/>
      <c r="C47" s="19" t="s">
        <v>2</v>
      </c>
      <c r="D47" s="19" t="s">
        <v>32</v>
      </c>
      <c r="E47" s="19" t="s">
        <v>29</v>
      </c>
      <c r="F47" s="19" t="s">
        <v>30</v>
      </c>
      <c r="G47" s="19" t="s">
        <v>2</v>
      </c>
      <c r="H47" s="19" t="s">
        <v>33</v>
      </c>
      <c r="I47" s="19" t="s">
        <v>2</v>
      </c>
      <c r="J47" s="16"/>
    </row>
    <row r="48" spans="1:32" ht="15.75" customHeight="1"/>
    <row r="49" spans="1:19" ht="15.75" customHeight="1"/>
    <row r="50" spans="1:19" ht="15.75" customHeight="1"/>
    <row r="51" spans="1:19" ht="30" customHeight="1">
      <c r="A51" s="1"/>
      <c r="B51" s="20" t="s">
        <v>34</v>
      </c>
      <c r="C51" s="21">
        <v>45620</v>
      </c>
      <c r="D51" s="22"/>
      <c r="E51" s="25"/>
      <c r="F51" s="26"/>
      <c r="G51" s="26"/>
      <c r="H51" s="26"/>
      <c r="I51" s="26"/>
      <c r="J51" s="25"/>
      <c r="K51" s="26"/>
      <c r="L51" s="26"/>
      <c r="M51" s="26"/>
      <c r="N51" s="26"/>
      <c r="O51" s="25"/>
      <c r="P51" s="26"/>
      <c r="Q51" s="26"/>
      <c r="R51" s="26"/>
      <c r="S51" s="26"/>
    </row>
    <row r="52" spans="1:19" ht="15.75" customHeight="1">
      <c r="A52" s="7"/>
      <c r="B52" s="7"/>
      <c r="C52" s="8">
        <f>C51</f>
        <v>45620</v>
      </c>
      <c r="D52" s="8">
        <f>C51+1</f>
        <v>45621</v>
      </c>
      <c r="E52" s="8">
        <f>C51+2</f>
        <v>45622</v>
      </c>
      <c r="F52" s="8">
        <f>C51+3</f>
        <v>45623</v>
      </c>
      <c r="G52" s="8">
        <f>C51+4</f>
        <v>45624</v>
      </c>
      <c r="H52" s="8">
        <f>C51+5</f>
        <v>45625</v>
      </c>
      <c r="I52" s="8">
        <f>C51+6</f>
        <v>45626</v>
      </c>
    </row>
    <row r="53" spans="1:19" ht="15.75" customHeight="1">
      <c r="A53" s="9"/>
      <c r="C53" s="10" t="str">
        <f t="shared" ref="C53:I53" si="7">UPPER(TEXT(C52, "DDDD"))</f>
        <v>SUNDAY</v>
      </c>
      <c r="D53" s="10" t="str">
        <f t="shared" si="7"/>
        <v>MONDAY</v>
      </c>
      <c r="E53" s="10" t="str">
        <f t="shared" si="7"/>
        <v>TUESDAY</v>
      </c>
      <c r="F53" s="10" t="str">
        <f t="shared" si="7"/>
        <v>WEDNESDAY</v>
      </c>
      <c r="G53" s="10" t="str">
        <f t="shared" si="7"/>
        <v>THURSDAY</v>
      </c>
      <c r="H53" s="10" t="str">
        <f t="shared" si="7"/>
        <v>FRIDAY</v>
      </c>
      <c r="I53" s="10" t="str">
        <f t="shared" si="7"/>
        <v>SATURDAY</v>
      </c>
    </row>
    <row r="54" spans="1:19" ht="89.25">
      <c r="A54" s="11"/>
      <c r="B54" s="12"/>
      <c r="C54" s="19" t="s">
        <v>2</v>
      </c>
      <c r="D54" s="19" t="s">
        <v>35</v>
      </c>
      <c r="E54" s="19" t="s">
        <v>36</v>
      </c>
      <c r="F54" s="19" t="s">
        <v>39</v>
      </c>
      <c r="G54" s="19" t="s">
        <v>2</v>
      </c>
      <c r="H54" s="19" t="s">
        <v>38</v>
      </c>
      <c r="I54" s="19" t="s">
        <v>2</v>
      </c>
    </row>
    <row r="55" spans="1:19" ht="15.75" customHeight="1"/>
    <row r="56" spans="1:19" ht="15.75" customHeight="1"/>
    <row r="57" spans="1:19" ht="15.75" customHeight="1"/>
    <row r="58" spans="1:19" ht="15.75" customHeight="1"/>
    <row r="59" spans="1:19" ht="30" customHeight="1">
      <c r="A59" s="1"/>
      <c r="B59" s="20" t="s">
        <v>37</v>
      </c>
      <c r="C59" s="21">
        <v>45627</v>
      </c>
      <c r="D59" s="22"/>
      <c r="E59" s="25"/>
      <c r="F59" s="26"/>
      <c r="G59" s="26"/>
      <c r="H59" s="26"/>
      <c r="I59" s="26"/>
      <c r="J59" s="25"/>
      <c r="K59" s="26"/>
      <c r="L59" s="26"/>
      <c r="M59" s="26"/>
      <c r="N59" s="26"/>
      <c r="O59" s="25"/>
      <c r="P59" s="26"/>
      <c r="Q59" s="26"/>
      <c r="R59" s="26"/>
      <c r="S59" s="26"/>
    </row>
    <row r="60" spans="1:19" ht="15.75" customHeight="1">
      <c r="A60" s="7"/>
      <c r="B60" s="7"/>
      <c r="C60" s="8">
        <f>C59</f>
        <v>45627</v>
      </c>
      <c r="D60" s="8">
        <f>C59+1</f>
        <v>45628</v>
      </c>
      <c r="E60" s="8">
        <f>C59+2</f>
        <v>45629</v>
      </c>
      <c r="F60" s="8">
        <f>C59+3</f>
        <v>45630</v>
      </c>
      <c r="G60" s="8">
        <f>C59+4</f>
        <v>45631</v>
      </c>
      <c r="H60" s="8">
        <f>C59+5</f>
        <v>45632</v>
      </c>
      <c r="I60" s="8">
        <f>C59+6</f>
        <v>45633</v>
      </c>
    </row>
    <row r="61" spans="1:19" ht="15.75" customHeight="1">
      <c r="A61" s="9"/>
      <c r="C61" s="10" t="str">
        <f t="shared" ref="C61:I61" si="8">UPPER(TEXT(C60, "DDDD"))</f>
        <v>SUNDAY</v>
      </c>
      <c r="D61" s="10" t="str">
        <f t="shared" si="8"/>
        <v>MONDAY</v>
      </c>
      <c r="E61" s="10" t="str">
        <f t="shared" si="8"/>
        <v>TUESDAY</v>
      </c>
      <c r="F61" s="10" t="str">
        <f t="shared" si="8"/>
        <v>WEDNESDAY</v>
      </c>
      <c r="G61" s="10" t="str">
        <f t="shared" si="8"/>
        <v>THURSDAY</v>
      </c>
      <c r="H61" s="10" t="str">
        <f t="shared" si="8"/>
        <v>FRIDAY</v>
      </c>
      <c r="I61" s="10" t="str">
        <f t="shared" si="8"/>
        <v>SATURDAY</v>
      </c>
    </row>
    <row r="62" spans="1:19" ht="127.5">
      <c r="A62" s="11"/>
      <c r="B62" s="12"/>
      <c r="C62" s="19" t="s">
        <v>2</v>
      </c>
      <c r="D62" s="19" t="s">
        <v>40</v>
      </c>
      <c r="E62" s="19" t="s">
        <v>41</v>
      </c>
      <c r="F62" s="19" t="s">
        <v>49</v>
      </c>
      <c r="G62" s="19" t="s">
        <v>42</v>
      </c>
      <c r="H62" s="19" t="s">
        <v>43</v>
      </c>
      <c r="I62" s="19" t="s">
        <v>42</v>
      </c>
    </row>
    <row r="63" spans="1:19" ht="15.75" customHeight="1"/>
    <row r="64" spans="1:19" ht="15.75" customHeight="1"/>
    <row r="65" spans="1:19" ht="15.75" customHeight="1"/>
    <row r="66" spans="1:19" ht="15.75" customHeight="1"/>
    <row r="67" spans="1:19" ht="30" customHeight="1">
      <c r="A67" s="1"/>
      <c r="B67" s="20" t="s">
        <v>44</v>
      </c>
      <c r="C67" s="21">
        <v>45634</v>
      </c>
      <c r="D67" s="22"/>
      <c r="E67" s="25"/>
      <c r="F67" s="26"/>
      <c r="G67" s="26"/>
      <c r="H67" s="26"/>
      <c r="I67" s="26"/>
      <c r="J67" s="25"/>
      <c r="K67" s="26"/>
      <c r="L67" s="26"/>
      <c r="M67" s="26"/>
      <c r="N67" s="26"/>
      <c r="O67" s="25"/>
      <c r="P67" s="26"/>
      <c r="Q67" s="26"/>
      <c r="R67" s="26"/>
      <c r="S67" s="26"/>
    </row>
    <row r="68" spans="1:19" ht="15.75" customHeight="1">
      <c r="A68" s="7"/>
      <c r="B68" s="7"/>
      <c r="C68" s="8">
        <f>C67</f>
        <v>45634</v>
      </c>
      <c r="D68" s="8">
        <f>C67+1</f>
        <v>45635</v>
      </c>
      <c r="E68" s="8">
        <f>C67+2</f>
        <v>45636</v>
      </c>
      <c r="F68" s="8">
        <f>C67+3</f>
        <v>45637</v>
      </c>
      <c r="G68" s="8">
        <f>C67+4</f>
        <v>45638</v>
      </c>
      <c r="H68" s="8">
        <f>C67+5</f>
        <v>45639</v>
      </c>
      <c r="I68" s="8">
        <f>C67+6</f>
        <v>45640</v>
      </c>
    </row>
    <row r="69" spans="1:19" ht="15.75" customHeight="1">
      <c r="A69" s="9"/>
      <c r="C69" s="10" t="str">
        <f t="shared" ref="C69:I69" si="9">UPPER(TEXT(C68, "DDDD"))</f>
        <v>SUNDAY</v>
      </c>
      <c r="D69" s="10" t="str">
        <f t="shared" si="9"/>
        <v>MONDAY</v>
      </c>
      <c r="E69" s="10" t="str">
        <f t="shared" si="9"/>
        <v>TUESDAY</v>
      </c>
      <c r="F69" s="10" t="str">
        <f t="shared" si="9"/>
        <v>WEDNESDAY</v>
      </c>
      <c r="G69" s="10" t="str">
        <f t="shared" si="9"/>
        <v>THURSDAY</v>
      </c>
      <c r="H69" s="10" t="str">
        <f t="shared" si="9"/>
        <v>FRIDAY</v>
      </c>
      <c r="I69" s="10" t="str">
        <f t="shared" si="9"/>
        <v>SATURDAY</v>
      </c>
    </row>
    <row r="70" spans="1:19" ht="76.5">
      <c r="A70" s="11"/>
      <c r="B70" s="12"/>
      <c r="C70" s="19" t="s">
        <v>2</v>
      </c>
      <c r="D70" s="19" t="s">
        <v>45</v>
      </c>
      <c r="E70" s="19" t="s">
        <v>46</v>
      </c>
      <c r="F70" s="19" t="s">
        <v>47</v>
      </c>
      <c r="G70" s="19" t="s">
        <v>2</v>
      </c>
      <c r="H70" s="19" t="s">
        <v>48</v>
      </c>
      <c r="I70" s="19" t="s">
        <v>42</v>
      </c>
    </row>
    <row r="71" spans="1:19" ht="15.75" customHeight="1"/>
    <row r="72" spans="1:19" ht="15.75" customHeight="1"/>
    <row r="73" spans="1:19" ht="15.75" customHeight="1"/>
    <row r="74" spans="1:19" ht="15.75" customHeight="1"/>
    <row r="75" spans="1:19" ht="30" customHeight="1">
      <c r="A75" s="1"/>
      <c r="B75" s="20" t="s">
        <v>50</v>
      </c>
      <c r="C75" s="21">
        <v>45641</v>
      </c>
      <c r="D75" s="22"/>
      <c r="E75" s="25"/>
      <c r="F75" s="26"/>
      <c r="G75" s="26"/>
      <c r="H75" s="26"/>
      <c r="I75" s="26"/>
      <c r="J75" s="25"/>
      <c r="K75" s="26"/>
      <c r="L75" s="26"/>
      <c r="M75" s="26"/>
      <c r="N75" s="26"/>
      <c r="O75" s="25"/>
      <c r="P75" s="26"/>
      <c r="Q75" s="26"/>
      <c r="R75" s="26"/>
      <c r="S75" s="26"/>
    </row>
    <row r="76" spans="1:19" ht="15.75" customHeight="1">
      <c r="A76" s="7"/>
      <c r="B76" s="7"/>
      <c r="C76" s="8">
        <f>C75</f>
        <v>45641</v>
      </c>
      <c r="D76" s="8">
        <f>C75+1</f>
        <v>45642</v>
      </c>
      <c r="E76" s="8">
        <f>C75+2</f>
        <v>45643</v>
      </c>
      <c r="F76" s="8">
        <f>C75+3</f>
        <v>45644</v>
      </c>
      <c r="G76" s="8">
        <f>C75+4</f>
        <v>45645</v>
      </c>
      <c r="H76" s="8">
        <f>C75+5</f>
        <v>45646</v>
      </c>
      <c r="I76" s="8">
        <f>C75+6</f>
        <v>45647</v>
      </c>
    </row>
    <row r="77" spans="1:19" ht="15.75" customHeight="1">
      <c r="A77" s="9"/>
      <c r="C77" s="10" t="str">
        <f t="shared" ref="C77:I77" si="10">UPPER(TEXT(C76, "DDDD"))</f>
        <v>SUNDAY</v>
      </c>
      <c r="D77" s="10" t="str">
        <f t="shared" si="10"/>
        <v>MONDAY</v>
      </c>
      <c r="E77" s="10" t="str">
        <f t="shared" si="10"/>
        <v>TUESDAY</v>
      </c>
      <c r="F77" s="10" t="str">
        <f t="shared" si="10"/>
        <v>WEDNESDAY</v>
      </c>
      <c r="G77" s="10" t="str">
        <f t="shared" si="10"/>
        <v>THURSDAY</v>
      </c>
      <c r="H77" s="10" t="str">
        <f t="shared" si="10"/>
        <v>FRIDAY</v>
      </c>
      <c r="I77" s="10" t="str">
        <f t="shared" si="10"/>
        <v>SATURDAY</v>
      </c>
    </row>
    <row r="78" spans="1:19" ht="89.25">
      <c r="A78" s="11"/>
      <c r="B78" s="12"/>
      <c r="C78" s="19" t="s">
        <v>2</v>
      </c>
      <c r="D78" s="19" t="s">
        <v>51</v>
      </c>
      <c r="E78" s="19" t="s">
        <v>52</v>
      </c>
      <c r="F78" s="19" t="s">
        <v>53</v>
      </c>
      <c r="G78" s="19" t="s">
        <v>2</v>
      </c>
      <c r="H78" s="19" t="s">
        <v>54</v>
      </c>
      <c r="I78" s="19" t="s">
        <v>42</v>
      </c>
    </row>
    <row r="79" spans="1:19" ht="15.75" customHeight="1"/>
    <row r="80" spans="1:19" ht="15.75" customHeight="1"/>
    <row r="81" spans="1:19" ht="15.75" customHeight="1"/>
    <row r="82" spans="1:19" ht="15.75" customHeight="1"/>
    <row r="83" spans="1:19" ht="30" customHeight="1">
      <c r="A83" s="1"/>
      <c r="B83" s="20" t="s">
        <v>50</v>
      </c>
      <c r="C83" s="21">
        <v>45648</v>
      </c>
      <c r="D83" s="22"/>
      <c r="E83" s="25"/>
      <c r="F83" s="26"/>
      <c r="G83" s="26"/>
      <c r="H83" s="26"/>
      <c r="I83" s="26"/>
      <c r="J83" s="25"/>
      <c r="K83" s="26"/>
      <c r="L83" s="26"/>
      <c r="M83" s="26"/>
      <c r="N83" s="26"/>
      <c r="O83" s="25"/>
      <c r="P83" s="26"/>
      <c r="Q83" s="26"/>
      <c r="R83" s="26"/>
      <c r="S83" s="26"/>
    </row>
    <row r="84" spans="1:19" ht="15.75" customHeight="1">
      <c r="A84" s="7"/>
      <c r="B84" s="7"/>
      <c r="C84" s="8">
        <f>C83</f>
        <v>45648</v>
      </c>
      <c r="D84" s="8">
        <f>C83+1</f>
        <v>45649</v>
      </c>
      <c r="E84" s="8">
        <f>C83+2</f>
        <v>45650</v>
      </c>
      <c r="F84" s="8">
        <f>C83+3</f>
        <v>45651</v>
      </c>
      <c r="G84" s="8">
        <f>C83+4</f>
        <v>45652</v>
      </c>
      <c r="H84" s="8">
        <f>C83+5</f>
        <v>45653</v>
      </c>
      <c r="I84" s="8">
        <f>C83+6</f>
        <v>45654</v>
      </c>
    </row>
    <row r="85" spans="1:19" ht="15.75" customHeight="1">
      <c r="A85" s="9"/>
      <c r="C85" s="10" t="str">
        <f t="shared" ref="C85:I85" si="11">UPPER(TEXT(C84, "DDDD"))</f>
        <v>SUNDAY</v>
      </c>
      <c r="D85" s="10" t="str">
        <f t="shared" si="11"/>
        <v>MONDAY</v>
      </c>
      <c r="E85" s="10" t="str">
        <f t="shared" si="11"/>
        <v>TUESDAY</v>
      </c>
      <c r="F85" s="10" t="str">
        <f t="shared" si="11"/>
        <v>WEDNESDAY</v>
      </c>
      <c r="G85" s="10" t="str">
        <f t="shared" si="11"/>
        <v>THURSDAY</v>
      </c>
      <c r="H85" s="10" t="str">
        <f t="shared" si="11"/>
        <v>FRIDAY</v>
      </c>
      <c r="I85" s="10" t="str">
        <f t="shared" si="11"/>
        <v>SATURDAY</v>
      </c>
    </row>
    <row r="86" spans="1:19" ht="102">
      <c r="A86" s="11"/>
      <c r="B86" s="12"/>
      <c r="C86" s="19" t="s">
        <v>2</v>
      </c>
      <c r="D86" s="19" t="s">
        <v>55</v>
      </c>
      <c r="E86" s="19" t="s">
        <v>56</v>
      </c>
      <c r="F86" s="19" t="s">
        <v>57</v>
      </c>
      <c r="G86" s="19" t="s">
        <v>58</v>
      </c>
      <c r="H86" s="19" t="s">
        <v>59</v>
      </c>
      <c r="I86" s="19" t="s">
        <v>42</v>
      </c>
    </row>
    <row r="87" spans="1:19" ht="15.75" customHeight="1"/>
    <row r="88" spans="1:19" ht="15.75" customHeight="1"/>
    <row r="89" spans="1:19" ht="15.75" customHeight="1"/>
    <row r="90" spans="1:19" ht="15.75" customHeight="1"/>
    <row r="91" spans="1:19" ht="30" customHeight="1">
      <c r="A91" s="1"/>
      <c r="B91" s="23" t="s">
        <v>60</v>
      </c>
      <c r="C91" s="21">
        <v>45655</v>
      </c>
      <c r="D91" s="22"/>
      <c r="E91" s="25"/>
      <c r="F91" s="26"/>
      <c r="G91" s="26"/>
      <c r="H91" s="26"/>
      <c r="I91" s="26"/>
      <c r="J91" s="25"/>
      <c r="K91" s="26"/>
      <c r="L91" s="26"/>
      <c r="M91" s="26"/>
      <c r="N91" s="26"/>
      <c r="O91" s="25"/>
      <c r="P91" s="26"/>
      <c r="Q91" s="26"/>
      <c r="R91" s="26"/>
      <c r="S91" s="26"/>
    </row>
    <row r="92" spans="1:19" ht="15.75" customHeight="1">
      <c r="A92" s="7"/>
      <c r="B92" s="7"/>
      <c r="C92" s="8">
        <f>C91</f>
        <v>45655</v>
      </c>
      <c r="D92" s="8">
        <f>C91+1</f>
        <v>45656</v>
      </c>
      <c r="E92" s="8">
        <f>C91+2</f>
        <v>45657</v>
      </c>
      <c r="F92" s="8">
        <f>C91+3</f>
        <v>45658</v>
      </c>
      <c r="G92" s="8">
        <f>C91+4</f>
        <v>45659</v>
      </c>
      <c r="H92" s="8">
        <f>C91+5</f>
        <v>45660</v>
      </c>
      <c r="I92" s="8">
        <f>C91+6</f>
        <v>45661</v>
      </c>
    </row>
    <row r="93" spans="1:19" ht="15.75" customHeight="1">
      <c r="A93" s="9"/>
      <c r="C93" s="10" t="str">
        <f t="shared" ref="C93:I93" si="12">UPPER(TEXT(C92, "DDDD"))</f>
        <v>SUNDAY</v>
      </c>
      <c r="D93" s="10" t="str">
        <f t="shared" si="12"/>
        <v>MONDAY</v>
      </c>
      <c r="E93" s="10" t="str">
        <f t="shared" si="12"/>
        <v>TUESDAY</v>
      </c>
      <c r="F93" s="10" t="str">
        <f t="shared" si="12"/>
        <v>WEDNESDAY</v>
      </c>
      <c r="G93" s="10" t="str">
        <f t="shared" si="12"/>
        <v>THURSDAY</v>
      </c>
      <c r="H93" s="10" t="str">
        <f t="shared" si="12"/>
        <v>FRIDAY</v>
      </c>
      <c r="I93" s="10" t="str">
        <f t="shared" si="12"/>
        <v>SATURDAY</v>
      </c>
    </row>
    <row r="94" spans="1:19" ht="63.75">
      <c r="A94" s="11"/>
      <c r="B94" s="12"/>
      <c r="C94" s="19" t="s">
        <v>2</v>
      </c>
      <c r="D94" s="19" t="s">
        <v>61</v>
      </c>
      <c r="E94" s="19" t="s">
        <v>62</v>
      </c>
      <c r="F94" s="19" t="s">
        <v>42</v>
      </c>
      <c r="G94" s="19" t="s">
        <v>64</v>
      </c>
      <c r="H94" s="19" t="s">
        <v>63</v>
      </c>
      <c r="I94" s="19" t="s">
        <v>42</v>
      </c>
    </row>
    <row r="95" spans="1:19" ht="15.75" customHeight="1"/>
    <row r="96" spans="1:19" ht="15.75" customHeight="1"/>
    <row r="97" spans="1:19" ht="15.75" customHeight="1"/>
    <row r="98" spans="1:19" ht="15.75" customHeight="1"/>
    <row r="99" spans="1:19" ht="30" customHeight="1">
      <c r="A99" s="1"/>
      <c r="B99" s="20" t="s">
        <v>65</v>
      </c>
      <c r="C99" s="21">
        <v>45662</v>
      </c>
      <c r="D99" s="22"/>
      <c r="E99" s="25"/>
      <c r="F99" s="26"/>
      <c r="G99" s="26"/>
      <c r="H99" s="26"/>
      <c r="I99" s="26"/>
      <c r="J99" s="25"/>
      <c r="K99" s="26"/>
      <c r="L99" s="26"/>
      <c r="M99" s="26"/>
      <c r="N99" s="26"/>
      <c r="O99" s="25"/>
      <c r="P99" s="26"/>
      <c r="Q99" s="26"/>
      <c r="R99" s="26"/>
      <c r="S99" s="26"/>
    </row>
    <row r="100" spans="1:19" ht="15.75" customHeight="1">
      <c r="A100" s="7"/>
      <c r="B100" s="7"/>
      <c r="C100" s="8">
        <f>C99</f>
        <v>45662</v>
      </c>
      <c r="D100" s="8">
        <f>C99+1</f>
        <v>45663</v>
      </c>
      <c r="E100" s="8">
        <f>C99+2</f>
        <v>45664</v>
      </c>
      <c r="F100" s="8">
        <f>C99+3</f>
        <v>45665</v>
      </c>
      <c r="G100" s="8">
        <f>C99+4</f>
        <v>45666</v>
      </c>
      <c r="H100" s="8">
        <f>C99+5</f>
        <v>45667</v>
      </c>
      <c r="I100" s="8">
        <f>C99+6</f>
        <v>45668</v>
      </c>
    </row>
    <row r="101" spans="1:19" ht="15.75" customHeight="1">
      <c r="A101" s="9"/>
      <c r="C101" s="10" t="str">
        <f t="shared" ref="C101:I101" si="13">UPPER(TEXT(C100, "DDDD"))</f>
        <v>SUNDAY</v>
      </c>
      <c r="D101" s="10" t="str">
        <f t="shared" si="13"/>
        <v>MONDAY</v>
      </c>
      <c r="E101" s="10" t="str">
        <f t="shared" si="13"/>
        <v>TUESDAY</v>
      </c>
      <c r="F101" s="10" t="str">
        <f t="shared" si="13"/>
        <v>WEDNESDAY</v>
      </c>
      <c r="G101" s="10" t="str">
        <f t="shared" si="13"/>
        <v>THURSDAY</v>
      </c>
      <c r="H101" s="10" t="str">
        <f t="shared" si="13"/>
        <v>FRIDAY</v>
      </c>
      <c r="I101" s="10" t="str">
        <f t="shared" si="13"/>
        <v>SATURDAY</v>
      </c>
    </row>
    <row r="102" spans="1:19" ht="76.5">
      <c r="A102" s="11"/>
      <c r="B102" s="12"/>
      <c r="C102" s="19" t="s">
        <v>2</v>
      </c>
      <c r="D102" s="19" t="s">
        <v>66</v>
      </c>
      <c r="E102" s="19" t="s">
        <v>67</v>
      </c>
      <c r="F102" s="19" t="s">
        <v>70</v>
      </c>
      <c r="G102" s="19" t="s">
        <v>68</v>
      </c>
      <c r="H102" s="19" t="s">
        <v>69</v>
      </c>
      <c r="I102" s="19" t="s">
        <v>42</v>
      </c>
    </row>
    <row r="103" spans="1:19" ht="15.75" customHeight="1"/>
    <row r="104" spans="1:19" ht="15.75" customHeight="1"/>
    <row r="105" spans="1:19" ht="15.75" customHeight="1"/>
    <row r="106" spans="1:19" ht="15.75" customHeight="1"/>
    <row r="107" spans="1:19" ht="15.75" customHeight="1"/>
    <row r="108" spans="1:19" ht="30" customHeight="1">
      <c r="A108" s="1"/>
      <c r="B108" s="20" t="s">
        <v>71</v>
      </c>
      <c r="C108" s="21">
        <v>45669</v>
      </c>
      <c r="D108" s="22"/>
      <c r="E108" s="25"/>
      <c r="F108" s="26"/>
      <c r="G108" s="26"/>
      <c r="H108" s="26"/>
      <c r="I108" s="26"/>
      <c r="J108" s="25"/>
      <c r="K108" s="26"/>
      <c r="L108" s="26"/>
      <c r="M108" s="26"/>
      <c r="N108" s="26"/>
      <c r="O108" s="25"/>
      <c r="P108" s="26"/>
      <c r="Q108" s="26"/>
      <c r="R108" s="26"/>
      <c r="S108" s="26"/>
    </row>
    <row r="109" spans="1:19" ht="15.75" customHeight="1">
      <c r="A109" s="7"/>
      <c r="B109" s="7"/>
      <c r="C109" s="8">
        <f>C108</f>
        <v>45669</v>
      </c>
      <c r="D109" s="8">
        <f>C108+1</f>
        <v>45670</v>
      </c>
      <c r="E109" s="8">
        <f>C108+2</f>
        <v>45671</v>
      </c>
      <c r="F109" s="8">
        <f>C108+3</f>
        <v>45672</v>
      </c>
      <c r="G109" s="8">
        <f>C108+4</f>
        <v>45673</v>
      </c>
      <c r="H109" s="8">
        <f>C108+5</f>
        <v>45674</v>
      </c>
      <c r="I109" s="8">
        <f>C108+6</f>
        <v>45675</v>
      </c>
    </row>
    <row r="110" spans="1:19" ht="15.75" customHeight="1">
      <c r="A110" s="9"/>
      <c r="C110" s="10" t="str">
        <f t="shared" ref="C110:I110" si="14">UPPER(TEXT(C109, "DDDD"))</f>
        <v>SUNDAY</v>
      </c>
      <c r="D110" s="10" t="str">
        <f t="shared" si="14"/>
        <v>MONDAY</v>
      </c>
      <c r="E110" s="10" t="str">
        <f t="shared" si="14"/>
        <v>TUESDAY</v>
      </c>
      <c r="F110" s="10" t="str">
        <f t="shared" si="14"/>
        <v>WEDNESDAY</v>
      </c>
      <c r="G110" s="10" t="str">
        <f t="shared" si="14"/>
        <v>THURSDAY</v>
      </c>
      <c r="H110" s="10" t="str">
        <f t="shared" si="14"/>
        <v>FRIDAY</v>
      </c>
      <c r="I110" s="10" t="str">
        <f t="shared" si="14"/>
        <v>SATURDAY</v>
      </c>
    </row>
    <row r="111" spans="1:19" ht="89.25">
      <c r="A111" s="11"/>
      <c r="B111" s="12"/>
      <c r="C111" s="19" t="s">
        <v>2</v>
      </c>
      <c r="D111" s="19" t="s">
        <v>73</v>
      </c>
      <c r="E111" s="19" t="s">
        <v>75</v>
      </c>
      <c r="F111" s="19" t="s">
        <v>72</v>
      </c>
      <c r="G111" s="19" t="s">
        <v>74</v>
      </c>
      <c r="H111" s="19" t="s">
        <v>76</v>
      </c>
      <c r="I111" s="19" t="s">
        <v>2</v>
      </c>
    </row>
    <row r="112" spans="1:19" ht="15.75" customHeight="1"/>
    <row r="113" spans="1:19" ht="15.75" customHeight="1"/>
    <row r="114" spans="1:19" ht="15.75" customHeight="1"/>
    <row r="115" spans="1:19" ht="15.75" customHeight="1"/>
    <row r="116" spans="1:19" ht="30" customHeight="1">
      <c r="A116" s="1"/>
      <c r="B116" s="20" t="s">
        <v>77</v>
      </c>
      <c r="C116" s="21">
        <v>45676</v>
      </c>
      <c r="D116" s="22"/>
      <c r="E116" s="25"/>
      <c r="F116" s="26"/>
      <c r="G116" s="26"/>
      <c r="H116" s="26"/>
      <c r="I116" s="26"/>
      <c r="J116" s="25"/>
      <c r="K116" s="26"/>
      <c r="L116" s="26"/>
      <c r="M116" s="26"/>
      <c r="N116" s="26"/>
      <c r="O116" s="25"/>
      <c r="P116" s="26"/>
      <c r="Q116" s="26"/>
      <c r="R116" s="26"/>
      <c r="S116" s="26"/>
    </row>
    <row r="117" spans="1:19" ht="15.75" customHeight="1">
      <c r="A117" s="7"/>
      <c r="B117" s="7"/>
      <c r="C117" s="8">
        <f>C116</f>
        <v>45676</v>
      </c>
      <c r="D117" s="8">
        <f>C116+1</f>
        <v>45677</v>
      </c>
      <c r="E117" s="8">
        <f>C116+2</f>
        <v>45678</v>
      </c>
      <c r="F117" s="8">
        <f>C116+3</f>
        <v>45679</v>
      </c>
      <c r="G117" s="8">
        <f>C116+4</f>
        <v>45680</v>
      </c>
      <c r="H117" s="8">
        <f>C116+5</f>
        <v>45681</v>
      </c>
      <c r="I117" s="8">
        <f>C116+6</f>
        <v>45682</v>
      </c>
    </row>
    <row r="118" spans="1:19" ht="15.75" customHeight="1">
      <c r="A118" s="9"/>
      <c r="C118" s="10" t="str">
        <f t="shared" ref="C118:I118" si="15">UPPER(TEXT(C117, "DDDD"))</f>
        <v>SUNDAY</v>
      </c>
      <c r="D118" s="10" t="str">
        <f t="shared" si="15"/>
        <v>MONDAY</v>
      </c>
      <c r="E118" s="10" t="str">
        <f t="shared" si="15"/>
        <v>TUESDAY</v>
      </c>
      <c r="F118" s="10" t="str">
        <f t="shared" si="15"/>
        <v>WEDNESDAY</v>
      </c>
      <c r="G118" s="10" t="str">
        <f t="shared" si="15"/>
        <v>THURSDAY</v>
      </c>
      <c r="H118" s="10" t="str">
        <f t="shared" si="15"/>
        <v>FRIDAY</v>
      </c>
      <c r="I118" s="10" t="str">
        <f t="shared" si="15"/>
        <v>SATURDAY</v>
      </c>
    </row>
    <row r="119" spans="1:19" ht="63.75">
      <c r="A119" s="11"/>
      <c r="B119" s="12"/>
      <c r="C119" s="19" t="s">
        <v>2</v>
      </c>
      <c r="D119" s="19" t="s">
        <v>78</v>
      </c>
      <c r="E119" s="19" t="s">
        <v>2</v>
      </c>
      <c r="F119" s="19" t="s">
        <v>2</v>
      </c>
      <c r="G119" s="19" t="s">
        <v>2</v>
      </c>
      <c r="H119" s="19" t="s">
        <v>2</v>
      </c>
      <c r="I119" s="19" t="s">
        <v>2</v>
      </c>
    </row>
    <row r="120" spans="1:19" ht="15.75" customHeight="1"/>
    <row r="121" spans="1:19" ht="15.75" customHeight="1"/>
    <row r="122" spans="1:19" ht="15.75" customHeight="1"/>
    <row r="123" spans="1:19" ht="30" customHeight="1">
      <c r="A123" s="1"/>
      <c r="B123" s="20" t="s">
        <v>79</v>
      </c>
      <c r="C123" s="21">
        <v>45683</v>
      </c>
      <c r="D123" s="22"/>
      <c r="E123" s="25"/>
      <c r="F123" s="26"/>
      <c r="G123" s="26"/>
      <c r="H123" s="26"/>
      <c r="I123" s="26"/>
      <c r="J123" s="25"/>
      <c r="K123" s="26"/>
      <c r="L123" s="26"/>
      <c r="M123" s="26"/>
      <c r="N123" s="26"/>
      <c r="O123" s="25"/>
      <c r="P123" s="26"/>
      <c r="Q123" s="26"/>
      <c r="R123" s="26"/>
      <c r="S123" s="26"/>
    </row>
    <row r="124" spans="1:19" ht="15.75" customHeight="1">
      <c r="A124" s="7"/>
      <c r="B124" s="7"/>
      <c r="C124" s="8">
        <f>C123</f>
        <v>45683</v>
      </c>
      <c r="D124" s="8">
        <f>C123+1</f>
        <v>45684</v>
      </c>
      <c r="E124" s="8">
        <f>C123+2</f>
        <v>45685</v>
      </c>
      <c r="F124" s="8">
        <f>C123+3</f>
        <v>45686</v>
      </c>
      <c r="G124" s="8">
        <f>C123+4</f>
        <v>45687</v>
      </c>
      <c r="H124" s="8">
        <f>C123+5</f>
        <v>45688</v>
      </c>
      <c r="I124" s="8">
        <f>C123+6</f>
        <v>45689</v>
      </c>
    </row>
    <row r="125" spans="1:19" ht="15.75" customHeight="1">
      <c r="A125" s="9"/>
      <c r="C125" s="10" t="str">
        <f t="shared" ref="C125:I125" si="16">UPPER(TEXT(C124, "DDDD"))</f>
        <v>SUNDAY</v>
      </c>
      <c r="D125" s="10" t="str">
        <f t="shared" si="16"/>
        <v>MONDAY</v>
      </c>
      <c r="E125" s="10" t="str">
        <f t="shared" si="16"/>
        <v>TUESDAY</v>
      </c>
      <c r="F125" s="10" t="str">
        <f t="shared" si="16"/>
        <v>WEDNESDAY</v>
      </c>
      <c r="G125" s="10" t="str">
        <f t="shared" si="16"/>
        <v>THURSDAY</v>
      </c>
      <c r="H125" s="10" t="str">
        <f t="shared" si="16"/>
        <v>FRIDAY</v>
      </c>
      <c r="I125" s="10" t="str">
        <f t="shared" si="16"/>
        <v>SATURDAY</v>
      </c>
    </row>
    <row r="126" spans="1:19" ht="12.75">
      <c r="A126" s="11"/>
      <c r="B126" s="12"/>
      <c r="C126" s="19" t="s">
        <v>2</v>
      </c>
      <c r="D126" s="19" t="s">
        <v>2</v>
      </c>
      <c r="E126" s="19" t="s">
        <v>2</v>
      </c>
      <c r="F126" s="19" t="s">
        <v>2</v>
      </c>
      <c r="G126" s="19" t="s">
        <v>2</v>
      </c>
      <c r="H126" s="19" t="s">
        <v>2</v>
      </c>
      <c r="I126" s="19" t="s">
        <v>2</v>
      </c>
    </row>
    <row r="127" spans="1:19" ht="15.75" customHeight="1"/>
    <row r="128" spans="1:19" ht="15.75" customHeight="1"/>
    <row r="129" spans="1:19" ht="15.75" customHeight="1"/>
    <row r="130" spans="1:19" ht="30" customHeight="1">
      <c r="A130" s="1"/>
      <c r="B130" s="20" t="s">
        <v>80</v>
      </c>
      <c r="C130" s="21">
        <v>45690</v>
      </c>
      <c r="D130" s="22"/>
      <c r="E130" s="25"/>
      <c r="F130" s="26"/>
      <c r="G130" s="26"/>
      <c r="H130" s="26"/>
      <c r="I130" s="26"/>
      <c r="J130" s="25"/>
      <c r="K130" s="26"/>
      <c r="L130" s="26"/>
      <c r="M130" s="26"/>
      <c r="N130" s="26"/>
      <c r="O130" s="25"/>
      <c r="P130" s="26"/>
      <c r="Q130" s="26"/>
      <c r="R130" s="26"/>
      <c r="S130" s="26"/>
    </row>
    <row r="131" spans="1:19" ht="15.75" customHeight="1">
      <c r="A131" s="7"/>
      <c r="B131" s="7"/>
      <c r="C131" s="8">
        <f>C130</f>
        <v>45690</v>
      </c>
      <c r="D131" s="8">
        <f>C130+1</f>
        <v>45691</v>
      </c>
      <c r="E131" s="8">
        <f>C130+2</f>
        <v>45692</v>
      </c>
      <c r="F131" s="8">
        <f>C130+3</f>
        <v>45693</v>
      </c>
      <c r="G131" s="8">
        <f>C130+4</f>
        <v>45694</v>
      </c>
      <c r="H131" s="8">
        <f>C130+5</f>
        <v>45695</v>
      </c>
      <c r="I131" s="8">
        <f>C130+6</f>
        <v>45696</v>
      </c>
    </row>
    <row r="132" spans="1:19" ht="15.75" customHeight="1">
      <c r="A132" s="9"/>
      <c r="C132" s="10" t="str">
        <f t="shared" ref="C132:I132" si="17">UPPER(TEXT(C131, "DDDD"))</f>
        <v>SUNDAY</v>
      </c>
      <c r="D132" s="10" t="str">
        <f t="shared" si="17"/>
        <v>MONDAY</v>
      </c>
      <c r="E132" s="10" t="str">
        <f t="shared" si="17"/>
        <v>TUESDAY</v>
      </c>
      <c r="F132" s="10" t="str">
        <f t="shared" si="17"/>
        <v>WEDNESDAY</v>
      </c>
      <c r="G132" s="10" t="str">
        <f t="shared" si="17"/>
        <v>THURSDAY</v>
      </c>
      <c r="H132" s="10" t="str">
        <f t="shared" si="17"/>
        <v>FRIDAY</v>
      </c>
      <c r="I132" s="10" t="str">
        <f t="shared" si="17"/>
        <v>SATURDAY</v>
      </c>
    </row>
    <row r="133" spans="1:19" ht="63.75">
      <c r="A133" s="11"/>
      <c r="B133" s="12"/>
      <c r="C133" s="19" t="s">
        <v>2</v>
      </c>
      <c r="D133" s="19" t="s">
        <v>82</v>
      </c>
      <c r="E133" s="19" t="s">
        <v>85</v>
      </c>
      <c r="F133" s="19" t="s">
        <v>83</v>
      </c>
      <c r="G133" s="19" t="s">
        <v>84</v>
      </c>
      <c r="H133" s="19" t="s">
        <v>81</v>
      </c>
      <c r="I133" s="19" t="s">
        <v>2</v>
      </c>
    </row>
    <row r="134" spans="1:19" ht="15.75" customHeight="1"/>
    <row r="135" spans="1:19" ht="15.75" customHeight="1"/>
    <row r="136" spans="1:19" ht="15.75" customHeight="1"/>
    <row r="137" spans="1:19" ht="30" customHeight="1">
      <c r="A137" s="1"/>
      <c r="B137" s="20" t="s">
        <v>86</v>
      </c>
      <c r="C137" s="21">
        <v>45697</v>
      </c>
      <c r="D137" s="22"/>
      <c r="E137" s="25"/>
      <c r="F137" s="26"/>
      <c r="G137" s="26"/>
      <c r="H137" s="26"/>
      <c r="I137" s="26"/>
      <c r="J137" s="25"/>
      <c r="K137" s="26"/>
      <c r="L137" s="26"/>
      <c r="M137" s="26"/>
      <c r="N137" s="26"/>
      <c r="O137" s="25"/>
      <c r="P137" s="26"/>
      <c r="Q137" s="26"/>
      <c r="R137" s="26"/>
      <c r="S137" s="26"/>
    </row>
    <row r="138" spans="1:19" ht="15.75" customHeight="1">
      <c r="A138" s="7"/>
      <c r="B138" s="7"/>
      <c r="C138" s="8">
        <f>C137</f>
        <v>45697</v>
      </c>
      <c r="D138" s="8">
        <f>C137+1</f>
        <v>45698</v>
      </c>
      <c r="E138" s="8">
        <f>C137+2</f>
        <v>45699</v>
      </c>
      <c r="F138" s="8">
        <f>C137+3</f>
        <v>45700</v>
      </c>
      <c r="G138" s="8">
        <f>C137+4</f>
        <v>45701</v>
      </c>
      <c r="H138" s="8">
        <f>C137+5</f>
        <v>45702</v>
      </c>
      <c r="I138" s="8">
        <f>C137+6</f>
        <v>45703</v>
      </c>
    </row>
    <row r="139" spans="1:19" ht="15.75" customHeight="1">
      <c r="A139" s="9"/>
      <c r="C139" s="10" t="str">
        <f t="shared" ref="C139:I139" si="18">UPPER(TEXT(C138, "DDDD"))</f>
        <v>SUNDAY</v>
      </c>
      <c r="D139" s="10" t="str">
        <f t="shared" si="18"/>
        <v>MONDAY</v>
      </c>
      <c r="E139" s="10" t="str">
        <f t="shared" si="18"/>
        <v>TUESDAY</v>
      </c>
      <c r="F139" s="10" t="str">
        <f t="shared" si="18"/>
        <v>WEDNESDAY</v>
      </c>
      <c r="G139" s="10" t="str">
        <f t="shared" si="18"/>
        <v>THURSDAY</v>
      </c>
      <c r="H139" s="10" t="str">
        <f t="shared" si="18"/>
        <v>FRIDAY</v>
      </c>
      <c r="I139" s="10" t="str">
        <f t="shared" si="18"/>
        <v>SATURDAY</v>
      </c>
    </row>
    <row r="140" spans="1:19" ht="140.25">
      <c r="A140" s="11"/>
      <c r="B140" s="12"/>
      <c r="C140" s="19" t="s">
        <v>2</v>
      </c>
      <c r="D140" s="19" t="s">
        <v>87</v>
      </c>
      <c r="E140" s="19" t="s">
        <v>88</v>
      </c>
      <c r="F140" s="19" t="s">
        <v>89</v>
      </c>
      <c r="G140" s="19" t="s">
        <v>90</v>
      </c>
      <c r="H140" s="19" t="s">
        <v>91</v>
      </c>
      <c r="I140" s="19" t="s">
        <v>2</v>
      </c>
    </row>
    <row r="141" spans="1:19" ht="15.75" customHeight="1"/>
    <row r="142" spans="1:19" ht="15.75" customHeight="1"/>
    <row r="143" spans="1:19" ht="15.75" customHeight="1"/>
    <row r="144" spans="1:19" ht="30" customHeight="1">
      <c r="A144" s="1"/>
      <c r="B144" s="20" t="s">
        <v>92</v>
      </c>
      <c r="C144" s="21">
        <v>45704</v>
      </c>
      <c r="D144" s="22"/>
      <c r="E144" s="25"/>
      <c r="F144" s="26"/>
      <c r="G144" s="26"/>
      <c r="H144" s="26"/>
      <c r="I144" s="26"/>
      <c r="J144" s="25"/>
      <c r="K144" s="26"/>
      <c r="L144" s="26"/>
      <c r="M144" s="26"/>
      <c r="N144" s="26"/>
      <c r="O144" s="25"/>
      <c r="P144" s="26"/>
      <c r="Q144" s="26"/>
      <c r="R144" s="26"/>
      <c r="S144" s="26"/>
    </row>
    <row r="145" spans="1:19" ht="15.75" customHeight="1">
      <c r="A145" s="7"/>
      <c r="B145" s="7"/>
      <c r="C145" s="8">
        <f>C144</f>
        <v>45704</v>
      </c>
      <c r="D145" s="8">
        <f>C144+1</f>
        <v>45705</v>
      </c>
      <c r="E145" s="8">
        <f>C144+2</f>
        <v>45706</v>
      </c>
      <c r="F145" s="8">
        <f>C144+3</f>
        <v>45707</v>
      </c>
      <c r="G145" s="8">
        <f>C144+4</f>
        <v>45708</v>
      </c>
      <c r="H145" s="8">
        <f>C144+5</f>
        <v>45709</v>
      </c>
      <c r="I145" s="8">
        <f>C144+6</f>
        <v>45710</v>
      </c>
    </row>
    <row r="146" spans="1:19" ht="15.75" customHeight="1">
      <c r="A146" s="9"/>
      <c r="C146" s="10" t="str">
        <f t="shared" ref="C146:I146" si="19">UPPER(TEXT(C145, "DDDD"))</f>
        <v>SUNDAY</v>
      </c>
      <c r="D146" s="10" t="str">
        <f t="shared" si="19"/>
        <v>MONDAY</v>
      </c>
      <c r="E146" s="10" t="str">
        <f t="shared" si="19"/>
        <v>TUESDAY</v>
      </c>
      <c r="F146" s="10" t="str">
        <f t="shared" si="19"/>
        <v>WEDNESDAY</v>
      </c>
      <c r="G146" s="10" t="str">
        <f t="shared" si="19"/>
        <v>THURSDAY</v>
      </c>
      <c r="H146" s="10" t="str">
        <f t="shared" si="19"/>
        <v>FRIDAY</v>
      </c>
      <c r="I146" s="10" t="str">
        <f t="shared" si="19"/>
        <v>SATURDAY</v>
      </c>
    </row>
    <row r="147" spans="1:19" ht="63.75">
      <c r="A147" s="11"/>
      <c r="B147" s="12"/>
      <c r="C147" s="19" t="s">
        <v>2</v>
      </c>
      <c r="D147" s="19" t="s">
        <v>93</v>
      </c>
      <c r="E147" s="19" t="s">
        <v>94</v>
      </c>
      <c r="F147" s="19" t="s">
        <v>95</v>
      </c>
      <c r="G147" s="19" t="s">
        <v>96</v>
      </c>
      <c r="H147" s="19" t="s">
        <v>97</v>
      </c>
      <c r="I147" s="19" t="s">
        <v>2</v>
      </c>
    </row>
    <row r="148" spans="1:19" ht="15.75" customHeight="1"/>
    <row r="149" spans="1:19" ht="15.75" customHeight="1"/>
    <row r="150" spans="1:19" ht="15.75" customHeight="1"/>
    <row r="151" spans="1:19" ht="30" customHeight="1">
      <c r="A151" s="1"/>
      <c r="B151" s="20" t="s">
        <v>98</v>
      </c>
      <c r="C151" s="21">
        <v>45711</v>
      </c>
      <c r="D151" s="22"/>
      <c r="E151" s="25"/>
      <c r="F151" s="26"/>
      <c r="G151" s="26"/>
      <c r="H151" s="26"/>
      <c r="I151" s="26"/>
      <c r="J151" s="25"/>
      <c r="K151" s="26"/>
      <c r="L151" s="26"/>
      <c r="M151" s="26"/>
      <c r="N151" s="26"/>
      <c r="O151" s="25"/>
      <c r="P151" s="26"/>
      <c r="Q151" s="26"/>
      <c r="R151" s="26"/>
      <c r="S151" s="26"/>
    </row>
    <row r="152" spans="1:19" ht="15.75" customHeight="1">
      <c r="A152" s="7"/>
      <c r="B152" s="7"/>
      <c r="C152" s="8">
        <f>C151</f>
        <v>45711</v>
      </c>
      <c r="D152" s="8">
        <f>C151+1</f>
        <v>45712</v>
      </c>
      <c r="E152" s="8">
        <f>C151+2</f>
        <v>45713</v>
      </c>
      <c r="F152" s="8">
        <f>C151+3</f>
        <v>45714</v>
      </c>
      <c r="G152" s="8">
        <f>C151+4</f>
        <v>45715</v>
      </c>
      <c r="H152" s="8">
        <f>C151+5</f>
        <v>45716</v>
      </c>
      <c r="I152" s="8">
        <f>C151+6</f>
        <v>45717</v>
      </c>
    </row>
    <row r="153" spans="1:19" ht="15.75" customHeight="1">
      <c r="A153" s="9"/>
      <c r="C153" s="10" t="str">
        <f t="shared" ref="C153:I153" si="20">UPPER(TEXT(C152, "DDDD"))</f>
        <v>SUNDAY</v>
      </c>
      <c r="D153" s="10" t="str">
        <f t="shared" si="20"/>
        <v>MONDAY</v>
      </c>
      <c r="E153" s="10" t="str">
        <f t="shared" si="20"/>
        <v>TUESDAY</v>
      </c>
      <c r="F153" s="10" t="str">
        <f t="shared" si="20"/>
        <v>WEDNESDAY</v>
      </c>
      <c r="G153" s="10" t="str">
        <f t="shared" si="20"/>
        <v>THURSDAY</v>
      </c>
      <c r="H153" s="10" t="str">
        <f t="shared" si="20"/>
        <v>FRIDAY</v>
      </c>
      <c r="I153" s="10" t="str">
        <f t="shared" si="20"/>
        <v>SATURDAY</v>
      </c>
    </row>
    <row r="154" spans="1:19" ht="127.5">
      <c r="A154" s="11"/>
      <c r="B154" s="12"/>
      <c r="C154" s="19" t="s">
        <v>2</v>
      </c>
      <c r="D154" s="19" t="s">
        <v>101</v>
      </c>
      <c r="E154" s="19" t="s">
        <v>100</v>
      </c>
      <c r="F154" s="19" t="s">
        <v>122</v>
      </c>
      <c r="G154" s="19" t="s">
        <v>99</v>
      </c>
      <c r="H154" s="19" t="s">
        <v>102</v>
      </c>
      <c r="I154" s="19" t="s">
        <v>2</v>
      </c>
    </row>
    <row r="155" spans="1:19" ht="15.75" customHeight="1"/>
    <row r="156" spans="1:19" ht="15.75" customHeight="1"/>
    <row r="157" spans="1:19" ht="15.75" customHeight="1"/>
    <row r="158" spans="1:19" ht="30" customHeight="1">
      <c r="A158" s="1"/>
      <c r="B158" s="20" t="s">
        <v>103</v>
      </c>
      <c r="C158" s="21">
        <v>45718</v>
      </c>
      <c r="D158" s="22"/>
      <c r="E158" s="25"/>
      <c r="F158" s="26"/>
      <c r="G158" s="26"/>
      <c r="H158" s="26"/>
      <c r="I158" s="26"/>
      <c r="J158" s="25"/>
      <c r="K158" s="26"/>
      <c r="L158" s="26"/>
      <c r="M158" s="26"/>
      <c r="N158" s="26"/>
      <c r="O158" s="25"/>
      <c r="P158" s="26"/>
      <c r="Q158" s="26"/>
      <c r="R158" s="26"/>
      <c r="S158" s="26"/>
    </row>
    <row r="159" spans="1:19" ht="15.75" customHeight="1">
      <c r="A159" s="7"/>
      <c r="B159" s="7"/>
      <c r="C159" s="8">
        <f>C158</f>
        <v>45718</v>
      </c>
      <c r="D159" s="8">
        <f>C158+1</f>
        <v>45719</v>
      </c>
      <c r="E159" s="8">
        <f>C158+2</f>
        <v>45720</v>
      </c>
      <c r="F159" s="8">
        <f>C158+3</f>
        <v>45721</v>
      </c>
      <c r="G159" s="8">
        <f>C158+4</f>
        <v>45722</v>
      </c>
      <c r="H159" s="8">
        <f>C158+5</f>
        <v>45723</v>
      </c>
      <c r="I159" s="8">
        <f>C158+6</f>
        <v>45724</v>
      </c>
    </row>
    <row r="160" spans="1:19" ht="15.75" customHeight="1">
      <c r="A160" s="9"/>
      <c r="C160" s="10" t="str">
        <f t="shared" ref="C160:I160" si="21">UPPER(TEXT(C159, "DDDD"))</f>
        <v>SUNDAY</v>
      </c>
      <c r="D160" s="10" t="str">
        <f t="shared" si="21"/>
        <v>MONDAY</v>
      </c>
      <c r="E160" s="10" t="str">
        <f t="shared" si="21"/>
        <v>TUESDAY</v>
      </c>
      <c r="F160" s="10" t="str">
        <f t="shared" si="21"/>
        <v>WEDNESDAY</v>
      </c>
      <c r="G160" s="10" t="str">
        <f t="shared" si="21"/>
        <v>THURSDAY</v>
      </c>
      <c r="H160" s="10" t="str">
        <f t="shared" si="21"/>
        <v>FRIDAY</v>
      </c>
      <c r="I160" s="10" t="str">
        <f t="shared" si="21"/>
        <v>SATURDAY</v>
      </c>
    </row>
    <row r="161" spans="1:19" ht="114.75">
      <c r="A161" s="11"/>
      <c r="B161" s="12"/>
      <c r="C161" s="19" t="s">
        <v>2</v>
      </c>
      <c r="D161" s="19" t="s">
        <v>105</v>
      </c>
      <c r="E161" s="19" t="s">
        <v>106</v>
      </c>
      <c r="F161" s="19" t="s">
        <v>121</v>
      </c>
      <c r="G161" s="19" t="s">
        <v>107</v>
      </c>
      <c r="H161" s="19" t="s">
        <v>108</v>
      </c>
      <c r="I161" s="19" t="s">
        <v>2</v>
      </c>
    </row>
    <row r="162" spans="1:19" ht="15.75" customHeight="1"/>
    <row r="163" spans="1:19" ht="15.75" customHeight="1"/>
    <row r="164" spans="1:19" ht="15.75" customHeight="1"/>
    <row r="165" spans="1:19" ht="30" customHeight="1">
      <c r="A165" s="1"/>
      <c r="B165" s="20" t="s">
        <v>104</v>
      </c>
      <c r="C165" s="21">
        <v>45725</v>
      </c>
      <c r="D165" s="22"/>
      <c r="E165" s="25"/>
      <c r="F165" s="26"/>
      <c r="G165" s="26"/>
      <c r="H165" s="26"/>
      <c r="I165" s="26"/>
      <c r="J165" s="25"/>
      <c r="K165" s="26"/>
      <c r="L165" s="26"/>
      <c r="M165" s="26"/>
      <c r="N165" s="26"/>
      <c r="O165" s="25"/>
      <c r="P165" s="26"/>
      <c r="Q165" s="26"/>
      <c r="R165" s="26"/>
      <c r="S165" s="26"/>
    </row>
    <row r="166" spans="1:19" ht="15.75" customHeight="1">
      <c r="A166" s="7"/>
      <c r="B166" s="7"/>
      <c r="C166" s="8">
        <f>C165</f>
        <v>45725</v>
      </c>
      <c r="D166" s="8">
        <f>C165+1</f>
        <v>45726</v>
      </c>
      <c r="E166" s="8">
        <f>C165+2</f>
        <v>45727</v>
      </c>
      <c r="F166" s="8">
        <f>C165+3</f>
        <v>45728</v>
      </c>
      <c r="G166" s="8">
        <f>C165+4</f>
        <v>45729</v>
      </c>
      <c r="H166" s="8">
        <f>C165+5</f>
        <v>45730</v>
      </c>
      <c r="I166" s="8">
        <f>C165+6</f>
        <v>45731</v>
      </c>
    </row>
    <row r="167" spans="1:19" ht="15.75" customHeight="1">
      <c r="A167" s="9"/>
      <c r="C167" s="10" t="str">
        <f t="shared" ref="C167:I167" si="22">UPPER(TEXT(C166, "DDDD"))</f>
        <v>SUNDAY</v>
      </c>
      <c r="D167" s="10" t="str">
        <f t="shared" si="22"/>
        <v>MONDAY</v>
      </c>
      <c r="E167" s="10" t="str">
        <f t="shared" si="22"/>
        <v>TUESDAY</v>
      </c>
      <c r="F167" s="10" t="str">
        <f t="shared" si="22"/>
        <v>WEDNESDAY</v>
      </c>
      <c r="G167" s="10" t="str">
        <f t="shared" si="22"/>
        <v>THURSDAY</v>
      </c>
      <c r="H167" s="10" t="str">
        <f t="shared" si="22"/>
        <v>FRIDAY</v>
      </c>
      <c r="I167" s="10" t="str">
        <f t="shared" si="22"/>
        <v>SATURDAY</v>
      </c>
    </row>
    <row r="168" spans="1:19" ht="114.75">
      <c r="A168" s="11"/>
      <c r="B168" s="12"/>
      <c r="C168" s="19" t="s">
        <v>2</v>
      </c>
      <c r="D168" s="19" t="s">
        <v>109</v>
      </c>
      <c r="E168" s="19" t="s">
        <v>110</v>
      </c>
      <c r="F168" s="19" t="s">
        <v>120</v>
      </c>
      <c r="G168" s="19" t="s">
        <v>111</v>
      </c>
      <c r="H168" s="19" t="s">
        <v>112</v>
      </c>
      <c r="I168" s="19" t="s">
        <v>2</v>
      </c>
    </row>
    <row r="169" spans="1:19" ht="15.75" customHeight="1"/>
    <row r="170" spans="1:19" ht="15.75" customHeight="1"/>
    <row r="171" spans="1:19" ht="15.75" customHeight="1"/>
    <row r="172" spans="1:19" ht="30" customHeight="1">
      <c r="A172" s="1"/>
      <c r="B172" s="20" t="s">
        <v>113</v>
      </c>
      <c r="C172" s="21">
        <v>45732</v>
      </c>
      <c r="D172" s="22"/>
      <c r="E172" s="25"/>
      <c r="F172" s="26"/>
      <c r="G172" s="26"/>
      <c r="H172" s="26"/>
      <c r="I172" s="26"/>
      <c r="J172" s="25"/>
      <c r="K172" s="26"/>
      <c r="L172" s="26"/>
      <c r="M172" s="26"/>
      <c r="N172" s="26"/>
      <c r="O172" s="25"/>
      <c r="P172" s="26"/>
      <c r="Q172" s="26"/>
      <c r="R172" s="26"/>
      <c r="S172" s="26"/>
    </row>
    <row r="173" spans="1:19" ht="15.75" customHeight="1">
      <c r="A173" s="7"/>
      <c r="B173" s="7"/>
      <c r="C173" s="8">
        <f>C172</f>
        <v>45732</v>
      </c>
      <c r="D173" s="8">
        <f>C172+1</f>
        <v>45733</v>
      </c>
      <c r="E173" s="8">
        <f>C172+2</f>
        <v>45734</v>
      </c>
      <c r="F173" s="8">
        <f>C172+3</f>
        <v>45735</v>
      </c>
      <c r="G173" s="8">
        <f>C172+4</f>
        <v>45736</v>
      </c>
      <c r="H173" s="8">
        <f>C172+5</f>
        <v>45737</v>
      </c>
      <c r="I173" s="8">
        <f>C172+6</f>
        <v>45738</v>
      </c>
    </row>
    <row r="174" spans="1:19" ht="15.75" customHeight="1">
      <c r="A174" s="9"/>
      <c r="C174" s="10" t="str">
        <f t="shared" ref="C174:I174" si="23">UPPER(TEXT(C173, "DDDD"))</f>
        <v>SUNDAY</v>
      </c>
      <c r="D174" s="10" t="str">
        <f t="shared" si="23"/>
        <v>MONDAY</v>
      </c>
      <c r="E174" s="10" t="str">
        <f t="shared" si="23"/>
        <v>TUESDAY</v>
      </c>
      <c r="F174" s="10" t="str">
        <f t="shared" si="23"/>
        <v>WEDNESDAY</v>
      </c>
      <c r="G174" s="10" t="str">
        <f t="shared" si="23"/>
        <v>THURSDAY</v>
      </c>
      <c r="H174" s="10" t="str">
        <f t="shared" si="23"/>
        <v>FRIDAY</v>
      </c>
      <c r="I174" s="10" t="str">
        <f t="shared" si="23"/>
        <v>SATURDAY</v>
      </c>
    </row>
    <row r="175" spans="1:19" ht="38.25">
      <c r="A175" s="11"/>
      <c r="B175" s="12"/>
      <c r="C175" s="19" t="s">
        <v>2</v>
      </c>
      <c r="D175" s="24" t="s">
        <v>116</v>
      </c>
      <c r="E175" s="24" t="s">
        <v>115</v>
      </c>
      <c r="F175" s="24" t="s">
        <v>117</v>
      </c>
      <c r="G175" s="24" t="s">
        <v>114</v>
      </c>
      <c r="H175" s="24" t="s">
        <v>118</v>
      </c>
      <c r="I175" s="12" t="s">
        <v>2</v>
      </c>
      <c r="J175" s="12"/>
      <c r="K175" s="12"/>
      <c r="L175" s="12"/>
      <c r="M175" s="12"/>
      <c r="N175" s="12"/>
    </row>
    <row r="176" spans="1:19" ht="15.75" customHeight="1"/>
    <row r="177" spans="1:19" ht="15.75" customHeight="1"/>
    <row r="178" spans="1:19" ht="15.75" customHeight="1"/>
    <row r="179" spans="1:19" ht="30" customHeight="1">
      <c r="A179" s="1"/>
      <c r="B179" s="20" t="s">
        <v>119</v>
      </c>
      <c r="C179" s="21">
        <v>45739</v>
      </c>
      <c r="D179" s="22"/>
      <c r="E179" s="25"/>
      <c r="F179" s="26"/>
      <c r="G179" s="26"/>
      <c r="H179" s="26"/>
      <c r="I179" s="26"/>
      <c r="J179" s="25"/>
      <c r="K179" s="26"/>
      <c r="L179" s="26"/>
      <c r="M179" s="26"/>
      <c r="N179" s="26"/>
      <c r="O179" s="25"/>
      <c r="P179" s="26"/>
      <c r="Q179" s="26"/>
      <c r="R179" s="26"/>
      <c r="S179" s="26"/>
    </row>
    <row r="180" spans="1:19" ht="15.75" customHeight="1">
      <c r="A180" s="7"/>
      <c r="B180" s="7"/>
      <c r="C180" s="8">
        <f>C179</f>
        <v>45739</v>
      </c>
      <c r="D180" s="8">
        <f>C179+1</f>
        <v>45740</v>
      </c>
      <c r="E180" s="8">
        <f>C179+2</f>
        <v>45741</v>
      </c>
      <c r="F180" s="8">
        <f>C179+3</f>
        <v>45742</v>
      </c>
      <c r="G180" s="8">
        <f>C179+4</f>
        <v>45743</v>
      </c>
      <c r="H180" s="8">
        <f>C179+5</f>
        <v>45744</v>
      </c>
      <c r="I180" s="8">
        <f>C179+6</f>
        <v>45745</v>
      </c>
    </row>
    <row r="181" spans="1:19" ht="15.75" customHeight="1">
      <c r="A181" s="9"/>
      <c r="C181" s="10" t="str">
        <f t="shared" ref="C181:I181" si="24">UPPER(TEXT(C180, "DDDD"))</f>
        <v>SUNDAY</v>
      </c>
      <c r="D181" s="10" t="str">
        <f t="shared" si="24"/>
        <v>MONDAY</v>
      </c>
      <c r="E181" s="10" t="str">
        <f t="shared" si="24"/>
        <v>TUESDAY</v>
      </c>
      <c r="F181" s="10" t="str">
        <f t="shared" si="24"/>
        <v>WEDNESDAY</v>
      </c>
      <c r="G181" s="10" t="str">
        <f t="shared" si="24"/>
        <v>THURSDAY</v>
      </c>
      <c r="H181" s="10" t="str">
        <f t="shared" si="24"/>
        <v>FRIDAY</v>
      </c>
      <c r="I181" s="10" t="str">
        <f t="shared" si="24"/>
        <v>SATURDAY</v>
      </c>
    </row>
    <row r="182" spans="1:19" ht="76.5">
      <c r="A182" s="11"/>
      <c r="B182" s="12"/>
      <c r="C182" s="19" t="s">
        <v>2</v>
      </c>
      <c r="D182" s="24" t="s">
        <v>142</v>
      </c>
      <c r="E182" s="24" t="s">
        <v>123</v>
      </c>
      <c r="F182" s="24" t="s">
        <v>125</v>
      </c>
      <c r="G182" s="24" t="s">
        <v>124</v>
      </c>
      <c r="H182" s="24" t="s">
        <v>126</v>
      </c>
      <c r="I182" s="24" t="s">
        <v>2</v>
      </c>
      <c r="J182" s="24"/>
      <c r="K182" s="12"/>
      <c r="L182" s="12"/>
      <c r="M182" s="12"/>
      <c r="N182" s="12"/>
    </row>
    <row r="183" spans="1:19" ht="15.75" customHeight="1"/>
    <row r="184" spans="1:19" ht="15.75" customHeight="1"/>
    <row r="185" spans="1:19" ht="15.75" customHeight="1"/>
    <row r="186" spans="1:19" ht="30" customHeight="1">
      <c r="A186" s="1"/>
      <c r="B186" s="20" t="s">
        <v>127</v>
      </c>
      <c r="C186" s="21">
        <v>45746</v>
      </c>
      <c r="D186" s="22"/>
      <c r="E186" s="25"/>
      <c r="F186" s="26"/>
      <c r="G186" s="26"/>
      <c r="H186" s="26"/>
      <c r="I186" s="26"/>
      <c r="J186" s="25"/>
      <c r="K186" s="26"/>
      <c r="L186" s="26"/>
      <c r="M186" s="26"/>
      <c r="N186" s="26"/>
      <c r="O186" s="25"/>
      <c r="P186" s="26"/>
      <c r="Q186" s="26"/>
      <c r="R186" s="26"/>
      <c r="S186" s="26"/>
    </row>
    <row r="187" spans="1:19" ht="15.75" customHeight="1">
      <c r="A187" s="7"/>
      <c r="B187" s="7"/>
      <c r="C187" s="8">
        <f>C186</f>
        <v>45746</v>
      </c>
      <c r="D187" s="8">
        <f>C186+1</f>
        <v>45747</v>
      </c>
      <c r="E187" s="8">
        <f>C186+2</f>
        <v>45748</v>
      </c>
      <c r="F187" s="8">
        <f>C186+3</f>
        <v>45749</v>
      </c>
      <c r="G187" s="8">
        <f>C186+4</f>
        <v>45750</v>
      </c>
      <c r="H187" s="8">
        <f>C186+5</f>
        <v>45751</v>
      </c>
      <c r="I187" s="8">
        <f>C186+6</f>
        <v>45752</v>
      </c>
    </row>
    <row r="188" spans="1:19" ht="15.75" customHeight="1">
      <c r="A188" s="9"/>
      <c r="C188" s="10" t="str">
        <f t="shared" ref="C188:I188" si="25">UPPER(TEXT(C187, "DDDD"))</f>
        <v>SUNDAY</v>
      </c>
      <c r="D188" s="10" t="str">
        <f t="shared" si="25"/>
        <v>MONDAY</v>
      </c>
      <c r="E188" s="10" t="str">
        <f t="shared" si="25"/>
        <v>TUESDAY</v>
      </c>
      <c r="F188" s="10" t="str">
        <f t="shared" si="25"/>
        <v>WEDNESDAY</v>
      </c>
      <c r="G188" s="10" t="str">
        <f t="shared" si="25"/>
        <v>THURSDAY</v>
      </c>
      <c r="H188" s="10" t="str">
        <f t="shared" si="25"/>
        <v>FRIDAY</v>
      </c>
      <c r="I188" s="10" t="str">
        <f t="shared" si="25"/>
        <v>SATURDAY</v>
      </c>
    </row>
    <row r="189" spans="1:19" ht="102">
      <c r="A189" s="11"/>
      <c r="B189" s="12"/>
      <c r="C189" s="19" t="s">
        <v>2</v>
      </c>
      <c r="D189" s="24" t="s">
        <v>130</v>
      </c>
      <c r="E189" s="24" t="s">
        <v>128</v>
      </c>
      <c r="F189" s="24" t="s">
        <v>129</v>
      </c>
      <c r="G189" s="24" t="s">
        <v>131</v>
      </c>
      <c r="H189" s="24" t="s">
        <v>132</v>
      </c>
      <c r="I189" s="24" t="s">
        <v>2</v>
      </c>
      <c r="J189" s="24"/>
      <c r="K189" s="12"/>
      <c r="L189" s="12"/>
      <c r="M189" s="12"/>
      <c r="N189" s="12"/>
    </row>
    <row r="190" spans="1:19" ht="15.75" customHeight="1"/>
    <row r="191" spans="1:19" ht="15.75" customHeight="1"/>
    <row r="192" spans="1:19" ht="15.75" customHeight="1"/>
    <row r="193" spans="1:19" ht="15.75" customHeight="1"/>
    <row r="194" spans="1:19" ht="30" customHeight="1">
      <c r="A194" s="1"/>
      <c r="B194" s="20" t="s">
        <v>127</v>
      </c>
      <c r="C194" s="21">
        <v>45753</v>
      </c>
      <c r="D194" s="22"/>
      <c r="E194" s="25"/>
      <c r="F194" s="26"/>
      <c r="G194" s="26"/>
      <c r="H194" s="26"/>
      <c r="I194" s="26"/>
      <c r="J194" s="25"/>
      <c r="K194" s="26"/>
      <c r="L194" s="26"/>
      <c r="M194" s="26"/>
      <c r="N194" s="26"/>
      <c r="O194" s="25"/>
      <c r="P194" s="26"/>
      <c r="Q194" s="26"/>
      <c r="R194" s="26"/>
      <c r="S194" s="26"/>
    </row>
    <row r="195" spans="1:19" ht="15.75" customHeight="1">
      <c r="A195" s="7"/>
      <c r="B195" s="7"/>
      <c r="C195" s="8">
        <f>C194</f>
        <v>45753</v>
      </c>
      <c r="D195" s="8">
        <f>C194+1</f>
        <v>45754</v>
      </c>
      <c r="E195" s="8">
        <f>C194+2</f>
        <v>45755</v>
      </c>
      <c r="F195" s="8">
        <f>C194+3</f>
        <v>45756</v>
      </c>
      <c r="G195" s="8">
        <f>C194+4</f>
        <v>45757</v>
      </c>
      <c r="H195" s="8">
        <f>C194+5</f>
        <v>45758</v>
      </c>
      <c r="I195" s="8">
        <f>C194+6</f>
        <v>45759</v>
      </c>
    </row>
    <row r="196" spans="1:19" ht="15.75" customHeight="1">
      <c r="A196" s="9"/>
      <c r="C196" s="10" t="str">
        <f t="shared" ref="C196:I196" si="26">UPPER(TEXT(C195, "DDDD"))</f>
        <v>SUNDAY</v>
      </c>
      <c r="D196" s="10" t="str">
        <f t="shared" si="26"/>
        <v>MONDAY</v>
      </c>
      <c r="E196" s="10" t="str">
        <f t="shared" si="26"/>
        <v>TUESDAY</v>
      </c>
      <c r="F196" s="10" t="str">
        <f t="shared" si="26"/>
        <v>WEDNESDAY</v>
      </c>
      <c r="G196" s="10" t="str">
        <f t="shared" si="26"/>
        <v>THURSDAY</v>
      </c>
      <c r="H196" s="10" t="str">
        <f t="shared" si="26"/>
        <v>FRIDAY</v>
      </c>
      <c r="I196" s="10" t="str">
        <f t="shared" si="26"/>
        <v>SATURDAY</v>
      </c>
    </row>
    <row r="197" spans="1:19" ht="51">
      <c r="A197" s="11"/>
      <c r="B197" s="12"/>
      <c r="C197" s="19" t="s">
        <v>2</v>
      </c>
      <c r="D197" s="24" t="s">
        <v>133</v>
      </c>
      <c r="E197" s="24" t="s">
        <v>135</v>
      </c>
      <c r="F197" s="24" t="s">
        <v>134</v>
      </c>
      <c r="G197" s="24" t="s">
        <v>136</v>
      </c>
      <c r="H197" s="24" t="s">
        <v>137</v>
      </c>
      <c r="I197" s="24" t="s">
        <v>2</v>
      </c>
      <c r="J197" s="24"/>
      <c r="K197" s="12"/>
      <c r="L197" s="12"/>
      <c r="M197" s="12"/>
      <c r="N197" s="12"/>
    </row>
    <row r="198" spans="1:19" ht="15.75" customHeight="1"/>
    <row r="199" spans="1:19" ht="15.75" customHeight="1"/>
    <row r="200" spans="1:19" ht="15.75" customHeight="1"/>
    <row r="201" spans="1:19" ht="15.75" customHeight="1"/>
    <row r="202" spans="1:19" ht="30" customHeight="1">
      <c r="A202" s="1"/>
      <c r="B202" s="20" t="s">
        <v>127</v>
      </c>
      <c r="C202" s="21">
        <v>45760</v>
      </c>
      <c r="D202" s="22"/>
      <c r="E202" s="25"/>
      <c r="F202" s="26"/>
      <c r="G202" s="26"/>
      <c r="H202" s="26"/>
      <c r="I202" s="26"/>
      <c r="J202" s="25"/>
      <c r="K202" s="26"/>
      <c r="L202" s="26"/>
      <c r="M202" s="26"/>
      <c r="N202" s="26"/>
      <c r="O202" s="25"/>
      <c r="P202" s="26"/>
      <c r="Q202" s="26"/>
      <c r="R202" s="26"/>
      <c r="S202" s="26"/>
    </row>
    <row r="203" spans="1:19" ht="15.75" customHeight="1">
      <c r="A203" s="7"/>
      <c r="B203" s="7"/>
      <c r="C203" s="8">
        <f>C202</f>
        <v>45760</v>
      </c>
      <c r="D203" s="8">
        <f>C202+1</f>
        <v>45761</v>
      </c>
      <c r="E203" s="8">
        <f>C202+2</f>
        <v>45762</v>
      </c>
      <c r="F203" s="8">
        <f>C202+3</f>
        <v>45763</v>
      </c>
      <c r="G203" s="8">
        <f>C202+4</f>
        <v>45764</v>
      </c>
      <c r="H203" s="8">
        <f>C202+5</f>
        <v>45765</v>
      </c>
      <c r="I203" s="8">
        <f>C202+6</f>
        <v>45766</v>
      </c>
    </row>
    <row r="204" spans="1:19" ht="15.75" customHeight="1">
      <c r="A204" s="9"/>
      <c r="C204" s="10" t="str">
        <f t="shared" ref="C204:I204" si="27">UPPER(TEXT(C203, "DDDD"))</f>
        <v>SUNDAY</v>
      </c>
      <c r="D204" s="10" t="str">
        <f t="shared" si="27"/>
        <v>MONDAY</v>
      </c>
      <c r="E204" s="10" t="str">
        <f t="shared" si="27"/>
        <v>TUESDAY</v>
      </c>
      <c r="F204" s="10" t="str">
        <f t="shared" si="27"/>
        <v>WEDNESDAY</v>
      </c>
      <c r="G204" s="10" t="str">
        <f t="shared" si="27"/>
        <v>THURSDAY</v>
      </c>
      <c r="H204" s="10" t="str">
        <f t="shared" si="27"/>
        <v>FRIDAY</v>
      </c>
      <c r="I204" s="10" t="str">
        <f t="shared" si="27"/>
        <v>SATURDAY</v>
      </c>
    </row>
    <row r="205" spans="1:19" ht="140.25">
      <c r="A205" s="11"/>
      <c r="B205" s="12"/>
      <c r="C205" s="19" t="s">
        <v>2</v>
      </c>
      <c r="D205" s="24" t="s">
        <v>138</v>
      </c>
      <c r="E205" s="24" t="s">
        <v>138</v>
      </c>
      <c r="F205" s="24" t="s">
        <v>141</v>
      </c>
      <c r="G205" s="24" t="s">
        <v>139</v>
      </c>
      <c r="H205" s="24" t="s">
        <v>140</v>
      </c>
      <c r="I205" s="24" t="s">
        <v>2</v>
      </c>
      <c r="J205" s="24"/>
      <c r="K205" s="12"/>
      <c r="L205" s="12"/>
      <c r="M205" s="12"/>
      <c r="N205" s="12"/>
    </row>
    <row r="206" spans="1:19" ht="15.75" customHeight="1"/>
    <row r="207" spans="1:19" ht="15.75" customHeight="1"/>
    <row r="208" spans="1:19" ht="15.75" customHeight="1"/>
    <row r="209" spans="1:19" ht="15.75" customHeight="1"/>
    <row r="210" spans="1:19" ht="30" customHeight="1">
      <c r="A210" s="1"/>
      <c r="B210" s="20" t="s">
        <v>146</v>
      </c>
      <c r="C210" s="21">
        <v>45767</v>
      </c>
      <c r="D210" s="22"/>
      <c r="E210" s="25"/>
      <c r="F210" s="26"/>
      <c r="G210" s="26"/>
      <c r="H210" s="26"/>
      <c r="I210" s="26"/>
      <c r="J210" s="25"/>
      <c r="K210" s="26"/>
      <c r="L210" s="26"/>
      <c r="M210" s="26"/>
      <c r="N210" s="26"/>
      <c r="O210" s="25"/>
      <c r="P210" s="26"/>
      <c r="Q210" s="26"/>
      <c r="R210" s="26"/>
      <c r="S210" s="26"/>
    </row>
    <row r="211" spans="1:19" ht="15.75" customHeight="1">
      <c r="A211" s="7"/>
      <c r="B211" s="7"/>
      <c r="C211" s="8">
        <f>C210</f>
        <v>45767</v>
      </c>
      <c r="D211" s="8">
        <f>C210+1</f>
        <v>45768</v>
      </c>
      <c r="E211" s="8">
        <f>C210+2</f>
        <v>45769</v>
      </c>
      <c r="F211" s="8">
        <f>C210+3</f>
        <v>45770</v>
      </c>
      <c r="G211" s="8">
        <f>C210+4</f>
        <v>45771</v>
      </c>
      <c r="H211" s="8">
        <f>C210+5</f>
        <v>45772</v>
      </c>
      <c r="I211" s="8">
        <f>C210+6</f>
        <v>45773</v>
      </c>
    </row>
    <row r="212" spans="1:19" ht="15.75" customHeight="1">
      <c r="A212" s="9"/>
      <c r="C212" s="10" t="str">
        <f t="shared" ref="C212:I212" si="28">UPPER(TEXT(C211, "DDDD"))</f>
        <v>SUNDAY</v>
      </c>
      <c r="D212" s="10" t="str">
        <f t="shared" si="28"/>
        <v>MONDAY</v>
      </c>
      <c r="E212" s="10" t="str">
        <f t="shared" si="28"/>
        <v>TUESDAY</v>
      </c>
      <c r="F212" s="10" t="str">
        <f t="shared" si="28"/>
        <v>WEDNESDAY</v>
      </c>
      <c r="G212" s="10" t="str">
        <f t="shared" si="28"/>
        <v>THURSDAY</v>
      </c>
      <c r="H212" s="10" t="str">
        <f t="shared" si="28"/>
        <v>FRIDAY</v>
      </c>
      <c r="I212" s="10" t="str">
        <f t="shared" si="28"/>
        <v>SATURDAY</v>
      </c>
    </row>
    <row r="213" spans="1:19" ht="51">
      <c r="A213" s="11"/>
      <c r="B213" s="12"/>
      <c r="C213" s="19" t="s">
        <v>2</v>
      </c>
      <c r="D213" s="24" t="s">
        <v>143</v>
      </c>
      <c r="E213" s="24" t="s">
        <v>144</v>
      </c>
      <c r="F213" s="24" t="s">
        <v>149</v>
      </c>
      <c r="G213" s="24" t="s">
        <v>148</v>
      </c>
      <c r="H213" s="24" t="s">
        <v>145</v>
      </c>
      <c r="I213" s="24" t="s">
        <v>2</v>
      </c>
      <c r="J213" s="24"/>
      <c r="K213" s="12"/>
      <c r="L213" s="12"/>
      <c r="M213" s="12"/>
      <c r="N213" s="12"/>
    </row>
    <row r="214" spans="1:19" ht="15.75" customHeight="1"/>
    <row r="215" spans="1:19" ht="15.75" customHeight="1"/>
    <row r="216" spans="1:19" ht="15.75" customHeight="1"/>
    <row r="217" spans="1:19" ht="15.75" customHeight="1"/>
    <row r="218" spans="1:19" ht="30" customHeight="1">
      <c r="A218" s="1"/>
      <c r="B218" s="20" t="s">
        <v>147</v>
      </c>
      <c r="C218" s="21">
        <v>45774</v>
      </c>
      <c r="D218" s="22"/>
      <c r="E218" s="25"/>
      <c r="F218" s="26"/>
      <c r="G218" s="26"/>
      <c r="H218" s="26"/>
      <c r="I218" s="26"/>
      <c r="J218" s="25"/>
      <c r="K218" s="26"/>
      <c r="L218" s="26"/>
      <c r="M218" s="26"/>
      <c r="N218" s="26"/>
      <c r="O218" s="25"/>
      <c r="P218" s="26"/>
      <c r="Q218" s="26"/>
      <c r="R218" s="26"/>
      <c r="S218" s="26"/>
    </row>
    <row r="219" spans="1:19" ht="15.75" customHeight="1">
      <c r="A219" s="7"/>
      <c r="B219" s="7"/>
      <c r="C219" s="8">
        <f>C218</f>
        <v>45774</v>
      </c>
      <c r="D219" s="8">
        <f>C218+1</f>
        <v>45775</v>
      </c>
      <c r="E219" s="8">
        <f>C218+2</f>
        <v>45776</v>
      </c>
      <c r="F219" s="8">
        <f>C218+3</f>
        <v>45777</v>
      </c>
      <c r="G219" s="8">
        <f>C218+4</f>
        <v>45778</v>
      </c>
      <c r="H219" s="8">
        <f>C218+5</f>
        <v>45779</v>
      </c>
      <c r="I219" s="8">
        <f>C218+6</f>
        <v>45780</v>
      </c>
    </row>
    <row r="220" spans="1:19" ht="15.75" customHeight="1">
      <c r="A220" s="9"/>
      <c r="C220" s="10" t="str">
        <f t="shared" ref="C220:I220" si="29">UPPER(TEXT(C219, "DDDD"))</f>
        <v>SUNDAY</v>
      </c>
      <c r="D220" s="10" t="str">
        <f t="shared" si="29"/>
        <v>MONDAY</v>
      </c>
      <c r="E220" s="10" t="str">
        <f t="shared" si="29"/>
        <v>TUESDAY</v>
      </c>
      <c r="F220" s="10" t="str">
        <f t="shared" si="29"/>
        <v>WEDNESDAY</v>
      </c>
      <c r="G220" s="10" t="str">
        <f t="shared" si="29"/>
        <v>THURSDAY</v>
      </c>
      <c r="H220" s="10" t="str">
        <f t="shared" si="29"/>
        <v>FRIDAY</v>
      </c>
      <c r="I220" s="10" t="str">
        <f t="shared" si="29"/>
        <v>SATURDAY</v>
      </c>
    </row>
    <row r="221" spans="1:19" ht="51">
      <c r="A221" s="11"/>
      <c r="B221" s="12"/>
      <c r="C221" s="19" t="s">
        <v>2</v>
      </c>
      <c r="D221" s="24" t="s">
        <v>150</v>
      </c>
      <c r="E221" s="24" t="s">
        <v>150</v>
      </c>
      <c r="F221" s="24" t="s">
        <v>133</v>
      </c>
      <c r="G221" s="24" t="s">
        <v>133</v>
      </c>
      <c r="H221" s="24" t="s">
        <v>133</v>
      </c>
      <c r="I221" s="24" t="s">
        <v>133</v>
      </c>
      <c r="J221" s="24"/>
      <c r="K221" s="12"/>
      <c r="L221" s="12"/>
      <c r="M221" s="12"/>
      <c r="N221" s="12"/>
    </row>
    <row r="222" spans="1:19" ht="15.75" customHeight="1"/>
    <row r="223" spans="1:19" ht="15.75" customHeight="1"/>
    <row r="224" spans="1:19" ht="15.75" customHeight="1"/>
    <row r="225" spans="1:19" ht="30" customHeight="1">
      <c r="A225" s="1"/>
      <c r="B225" s="20" t="s">
        <v>151</v>
      </c>
      <c r="C225" s="21">
        <v>45781</v>
      </c>
      <c r="D225" s="22"/>
      <c r="E225" s="25"/>
      <c r="F225" s="26"/>
      <c r="G225" s="26"/>
      <c r="H225" s="26"/>
      <c r="I225" s="26"/>
      <c r="J225" s="25"/>
      <c r="K225" s="26"/>
      <c r="L225" s="26"/>
      <c r="M225" s="26"/>
      <c r="N225" s="26"/>
      <c r="O225" s="25"/>
      <c r="P225" s="26"/>
      <c r="Q225" s="26"/>
      <c r="R225" s="26"/>
      <c r="S225" s="26"/>
    </row>
    <row r="226" spans="1:19" ht="15.75" customHeight="1">
      <c r="A226" s="7"/>
      <c r="B226" s="7"/>
      <c r="C226" s="8">
        <f>C225</f>
        <v>45781</v>
      </c>
      <c r="D226" s="8">
        <f>C225+1</f>
        <v>45782</v>
      </c>
      <c r="E226" s="8">
        <f>C225+2</f>
        <v>45783</v>
      </c>
      <c r="F226" s="8">
        <f>C225+3</f>
        <v>45784</v>
      </c>
      <c r="G226" s="8">
        <f>C225+4</f>
        <v>45785</v>
      </c>
      <c r="H226" s="8">
        <f>C225+5</f>
        <v>45786</v>
      </c>
      <c r="I226" s="8">
        <f>C225+6</f>
        <v>45787</v>
      </c>
    </row>
    <row r="227" spans="1:19" ht="15.75" customHeight="1">
      <c r="A227" s="9"/>
      <c r="C227" s="10" t="str">
        <f t="shared" ref="C227:I227" si="30">UPPER(TEXT(C226, "DDDD"))</f>
        <v>SUNDAY</v>
      </c>
      <c r="D227" s="10" t="str">
        <f t="shared" si="30"/>
        <v>MONDAY</v>
      </c>
      <c r="E227" s="10" t="str">
        <f t="shared" si="30"/>
        <v>TUESDAY</v>
      </c>
      <c r="F227" s="10" t="str">
        <f t="shared" si="30"/>
        <v>WEDNESDAY</v>
      </c>
      <c r="G227" s="10" t="str">
        <f t="shared" si="30"/>
        <v>THURSDAY</v>
      </c>
      <c r="H227" s="10" t="str">
        <f t="shared" si="30"/>
        <v>FRIDAY</v>
      </c>
      <c r="I227" s="10" t="str">
        <f t="shared" si="30"/>
        <v>SATURDAY</v>
      </c>
    </row>
    <row r="228" spans="1:19" ht="102">
      <c r="A228" s="11"/>
      <c r="B228" s="12"/>
      <c r="C228" s="19" t="s">
        <v>2</v>
      </c>
      <c r="D228" s="24" t="s">
        <v>152</v>
      </c>
      <c r="E228" s="24" t="s">
        <v>153</v>
      </c>
      <c r="F228" s="24" t="s">
        <v>156</v>
      </c>
      <c r="G228" s="24" t="s">
        <v>157</v>
      </c>
      <c r="H228" s="24" t="s">
        <v>154</v>
      </c>
      <c r="I228" s="24" t="s">
        <v>155</v>
      </c>
      <c r="J228" s="24"/>
      <c r="K228" s="12"/>
      <c r="L228" s="12"/>
      <c r="M228" s="12"/>
      <c r="N228" s="12"/>
    </row>
    <row r="229" spans="1:19" ht="15.75" customHeight="1"/>
    <row r="230" spans="1:19" ht="15.75" customHeight="1"/>
    <row r="231" spans="1:19" ht="15.75" customHeight="1"/>
    <row r="232" spans="1:19" ht="30" customHeight="1">
      <c r="A232" s="1"/>
      <c r="B232" s="20" t="s">
        <v>158</v>
      </c>
      <c r="C232" s="21">
        <v>45788</v>
      </c>
      <c r="D232" s="22"/>
      <c r="E232" s="25"/>
      <c r="F232" s="26"/>
      <c r="G232" s="26"/>
      <c r="H232" s="26"/>
      <c r="I232" s="26"/>
      <c r="J232" s="25"/>
      <c r="K232" s="26"/>
      <c r="L232" s="26"/>
      <c r="M232" s="26"/>
      <c r="N232" s="26"/>
      <c r="O232" s="25"/>
      <c r="P232" s="26"/>
      <c r="Q232" s="26"/>
      <c r="R232" s="26"/>
      <c r="S232" s="26"/>
    </row>
    <row r="233" spans="1:19" ht="15.75" customHeight="1">
      <c r="A233" s="7"/>
      <c r="B233" s="7"/>
      <c r="C233" s="8">
        <f>C232</f>
        <v>45788</v>
      </c>
      <c r="D233" s="8">
        <f>C232+1</f>
        <v>45789</v>
      </c>
      <c r="E233" s="8">
        <f>C232+2</f>
        <v>45790</v>
      </c>
      <c r="F233" s="8">
        <f>C232+3</f>
        <v>45791</v>
      </c>
      <c r="G233" s="8">
        <f>C232+4</f>
        <v>45792</v>
      </c>
      <c r="H233" s="8">
        <f>C232+5</f>
        <v>45793</v>
      </c>
      <c r="I233" s="8">
        <f>C232+6</f>
        <v>45794</v>
      </c>
    </row>
    <row r="234" spans="1:19" ht="15.75" customHeight="1">
      <c r="A234" s="9"/>
      <c r="C234" s="10" t="str">
        <f t="shared" ref="C234:I234" si="31">UPPER(TEXT(C233, "DDDD"))</f>
        <v>SUNDAY</v>
      </c>
      <c r="D234" s="10" t="str">
        <f t="shared" si="31"/>
        <v>MONDAY</v>
      </c>
      <c r="E234" s="10" t="str">
        <f t="shared" si="31"/>
        <v>TUESDAY</v>
      </c>
      <c r="F234" s="10" t="str">
        <f t="shared" si="31"/>
        <v>WEDNESDAY</v>
      </c>
      <c r="G234" s="10" t="str">
        <f t="shared" si="31"/>
        <v>THURSDAY</v>
      </c>
      <c r="H234" s="10" t="str">
        <f t="shared" si="31"/>
        <v>FRIDAY</v>
      </c>
      <c r="I234" s="10" t="str">
        <f t="shared" si="31"/>
        <v>SATURDAY</v>
      </c>
    </row>
    <row r="235" spans="1:19" ht="102">
      <c r="A235" s="11"/>
      <c r="B235" s="12"/>
      <c r="C235" s="19" t="s">
        <v>2</v>
      </c>
      <c r="D235" s="24" t="s">
        <v>159</v>
      </c>
      <c r="E235" s="24" t="s">
        <v>160</v>
      </c>
      <c r="F235" s="24" t="s">
        <v>161</v>
      </c>
      <c r="G235" s="24" t="s">
        <v>162</v>
      </c>
      <c r="H235" s="24" t="s">
        <v>163</v>
      </c>
      <c r="I235" s="24" t="s">
        <v>155</v>
      </c>
      <c r="J235" s="24"/>
      <c r="K235" s="12"/>
      <c r="L235" s="12"/>
      <c r="M235" s="12"/>
      <c r="N235" s="12"/>
    </row>
    <row r="236" spans="1:19" ht="15.75" customHeight="1"/>
    <row r="237" spans="1:19" ht="15.75" customHeight="1"/>
    <row r="238" spans="1:19" ht="15.75" customHeight="1"/>
    <row r="239" spans="1:19" ht="30" customHeight="1">
      <c r="A239" s="1"/>
      <c r="B239" s="20" t="s">
        <v>164</v>
      </c>
      <c r="C239" s="21">
        <v>45795</v>
      </c>
      <c r="D239" s="22"/>
      <c r="E239" s="25"/>
      <c r="F239" s="26"/>
      <c r="G239" s="26"/>
      <c r="H239" s="26"/>
      <c r="I239" s="26"/>
      <c r="J239" s="25"/>
      <c r="K239" s="26"/>
      <c r="L239" s="26"/>
      <c r="M239" s="26"/>
      <c r="N239" s="26"/>
      <c r="O239" s="25"/>
      <c r="P239" s="26"/>
      <c r="Q239" s="26"/>
      <c r="R239" s="26"/>
      <c r="S239" s="26"/>
    </row>
    <row r="240" spans="1:19" ht="15.75" customHeight="1">
      <c r="A240" s="7"/>
      <c r="B240" s="7"/>
      <c r="C240" s="8">
        <f>C239</f>
        <v>45795</v>
      </c>
      <c r="D240" s="8">
        <f>C239+1</f>
        <v>45796</v>
      </c>
      <c r="E240" s="8">
        <f>C239+2</f>
        <v>45797</v>
      </c>
      <c r="F240" s="8">
        <f>C239+3</f>
        <v>45798</v>
      </c>
      <c r="G240" s="8">
        <f>C239+4</f>
        <v>45799</v>
      </c>
      <c r="H240" s="8">
        <f>C239+5</f>
        <v>45800</v>
      </c>
      <c r="I240" s="8">
        <f>C239+6</f>
        <v>45801</v>
      </c>
    </row>
    <row r="241" spans="1:19" ht="15.75" customHeight="1">
      <c r="A241" s="9"/>
      <c r="C241" s="10" t="str">
        <f t="shared" ref="C241:I241" si="32">UPPER(TEXT(C240, "DDDD"))</f>
        <v>SUNDAY</v>
      </c>
      <c r="D241" s="10" t="str">
        <f t="shared" si="32"/>
        <v>MONDAY</v>
      </c>
      <c r="E241" s="10" t="str">
        <f t="shared" si="32"/>
        <v>TUESDAY</v>
      </c>
      <c r="F241" s="10" t="str">
        <f t="shared" si="32"/>
        <v>WEDNESDAY</v>
      </c>
      <c r="G241" s="10" t="str">
        <f t="shared" si="32"/>
        <v>THURSDAY</v>
      </c>
      <c r="H241" s="10" t="str">
        <f t="shared" si="32"/>
        <v>FRIDAY</v>
      </c>
      <c r="I241" s="10" t="str">
        <f t="shared" si="32"/>
        <v>SATURDAY</v>
      </c>
    </row>
    <row r="242" spans="1:19" ht="76.5">
      <c r="A242" s="11"/>
      <c r="B242" s="12"/>
      <c r="C242" s="19" t="s">
        <v>2</v>
      </c>
      <c r="D242" s="24" t="s">
        <v>167</v>
      </c>
      <c r="E242" s="24" t="s">
        <v>168</v>
      </c>
      <c r="F242" s="24" t="s">
        <v>166</v>
      </c>
      <c r="G242" s="24" t="s">
        <v>169</v>
      </c>
      <c r="H242" s="24" t="s">
        <v>165</v>
      </c>
      <c r="I242" s="24" t="s">
        <v>155</v>
      </c>
      <c r="J242" s="24"/>
      <c r="K242" s="12"/>
      <c r="L242" s="12"/>
      <c r="M242" s="12"/>
      <c r="N242" s="12"/>
    </row>
    <row r="243" spans="1:19" ht="15.75" customHeight="1"/>
    <row r="244" spans="1:19" ht="15.75" customHeight="1"/>
    <row r="245" spans="1:19" ht="15.75" customHeight="1"/>
    <row r="246" spans="1:19" ht="30" customHeight="1">
      <c r="A246" s="1"/>
      <c r="B246" s="20" t="s">
        <v>170</v>
      </c>
      <c r="C246" s="21">
        <v>45802</v>
      </c>
      <c r="D246" s="22"/>
      <c r="E246" s="25"/>
      <c r="F246" s="26"/>
      <c r="G246" s="26"/>
      <c r="H246" s="26"/>
      <c r="I246" s="26"/>
      <c r="J246" s="25"/>
      <c r="K246" s="26"/>
      <c r="L246" s="26"/>
      <c r="M246" s="26"/>
      <c r="N246" s="26"/>
      <c r="O246" s="25"/>
      <c r="P246" s="26"/>
      <c r="Q246" s="26"/>
      <c r="R246" s="26"/>
      <c r="S246" s="26"/>
    </row>
    <row r="247" spans="1:19" ht="15.75" customHeight="1">
      <c r="A247" s="7"/>
      <c r="B247" s="7"/>
      <c r="C247" s="8">
        <f>C246</f>
        <v>45802</v>
      </c>
      <c r="D247" s="8">
        <f>C246+1</f>
        <v>45803</v>
      </c>
      <c r="E247" s="8">
        <f>C246+2</f>
        <v>45804</v>
      </c>
      <c r="F247" s="8">
        <f>C246+3</f>
        <v>45805</v>
      </c>
      <c r="G247" s="8">
        <f>C246+4</f>
        <v>45806</v>
      </c>
      <c r="H247" s="8">
        <f>C246+5</f>
        <v>45807</v>
      </c>
      <c r="I247" s="8">
        <f>C246+6</f>
        <v>45808</v>
      </c>
    </row>
    <row r="248" spans="1:19" ht="15.75" customHeight="1">
      <c r="A248" s="9"/>
      <c r="C248" s="10" t="str">
        <f t="shared" ref="C248:I248" si="33">UPPER(TEXT(C247, "DDDD"))</f>
        <v>SUNDAY</v>
      </c>
      <c r="D248" s="10" t="str">
        <f t="shared" si="33"/>
        <v>MONDAY</v>
      </c>
      <c r="E248" s="10" t="str">
        <f t="shared" si="33"/>
        <v>TUESDAY</v>
      </c>
      <c r="F248" s="10" t="str">
        <f t="shared" si="33"/>
        <v>WEDNESDAY</v>
      </c>
      <c r="G248" s="10" t="str">
        <f t="shared" si="33"/>
        <v>THURSDAY</v>
      </c>
      <c r="H248" s="10" t="str">
        <f t="shared" si="33"/>
        <v>FRIDAY</v>
      </c>
      <c r="I248" s="10" t="str">
        <f t="shared" si="33"/>
        <v>SATURDAY</v>
      </c>
    </row>
    <row r="249" spans="1:19" ht="76.5">
      <c r="A249" s="11"/>
      <c r="B249" s="12"/>
      <c r="C249" s="19" t="s">
        <v>2</v>
      </c>
      <c r="D249" s="24" t="s">
        <v>171</v>
      </c>
      <c r="E249" s="24" t="s">
        <v>172</v>
      </c>
      <c r="F249" s="24" t="s">
        <v>173</v>
      </c>
      <c r="G249" s="24"/>
      <c r="H249" s="24"/>
      <c r="I249" s="24" t="s">
        <v>155</v>
      </c>
      <c r="J249" s="24"/>
      <c r="K249" s="12"/>
      <c r="L249" s="12"/>
      <c r="M249" s="12"/>
      <c r="N249" s="12"/>
    </row>
    <row r="250" spans="1:19" ht="15.75" customHeight="1"/>
    <row r="251" spans="1:19" ht="15.75" customHeight="1"/>
    <row r="252" spans="1:19" ht="15.75" customHeight="1"/>
    <row r="253" spans="1:19" ht="30" customHeight="1">
      <c r="A253" s="1"/>
      <c r="B253" s="20" t="s">
        <v>174</v>
      </c>
      <c r="C253" s="21">
        <v>45809</v>
      </c>
      <c r="D253" s="22"/>
      <c r="E253" s="25"/>
      <c r="F253" s="26"/>
      <c r="G253" s="26"/>
      <c r="H253" s="26"/>
      <c r="I253" s="26"/>
      <c r="J253" s="25"/>
      <c r="K253" s="26"/>
      <c r="L253" s="26"/>
      <c r="M253" s="26"/>
      <c r="N253" s="26"/>
      <c r="O253" s="25"/>
      <c r="P253" s="26"/>
      <c r="Q253" s="26"/>
      <c r="R253" s="26"/>
      <c r="S253" s="26"/>
    </row>
    <row r="254" spans="1:19" ht="15.75" customHeight="1">
      <c r="A254" s="7"/>
      <c r="B254" s="7"/>
      <c r="C254" s="8">
        <f>C253</f>
        <v>45809</v>
      </c>
      <c r="D254" s="8">
        <f>C253+1</f>
        <v>45810</v>
      </c>
      <c r="E254" s="8">
        <f>C253+2</f>
        <v>45811</v>
      </c>
      <c r="F254" s="8">
        <f>C253+3</f>
        <v>45812</v>
      </c>
      <c r="G254" s="8">
        <f>C253+4</f>
        <v>45813</v>
      </c>
      <c r="H254" s="8">
        <f>C253+5</f>
        <v>45814</v>
      </c>
      <c r="I254" s="8">
        <f>C253+6</f>
        <v>45815</v>
      </c>
    </row>
    <row r="255" spans="1:19" ht="15.75" customHeight="1">
      <c r="A255" s="9"/>
      <c r="C255" s="10" t="str">
        <f t="shared" ref="C255:I255" si="34">UPPER(TEXT(C254, "DDDD"))</f>
        <v>SUNDAY</v>
      </c>
      <c r="D255" s="10" t="str">
        <f t="shared" si="34"/>
        <v>MONDAY</v>
      </c>
      <c r="E255" s="10" t="str">
        <f t="shared" si="34"/>
        <v>TUESDAY</v>
      </c>
      <c r="F255" s="10" t="str">
        <f t="shared" si="34"/>
        <v>WEDNESDAY</v>
      </c>
      <c r="G255" s="10" t="str">
        <f t="shared" si="34"/>
        <v>THURSDAY</v>
      </c>
      <c r="H255" s="10" t="str">
        <f t="shared" si="34"/>
        <v>FRIDAY</v>
      </c>
      <c r="I255" s="10" t="str">
        <f t="shared" si="34"/>
        <v>SATURDAY</v>
      </c>
    </row>
    <row r="256" spans="1:19" ht="12.75">
      <c r="A256" s="11"/>
      <c r="B256" s="12"/>
      <c r="C256" s="19" t="s">
        <v>2</v>
      </c>
      <c r="D256" s="24"/>
      <c r="E256" s="24"/>
      <c r="F256" s="24"/>
      <c r="G256" s="24"/>
      <c r="H256" s="24"/>
      <c r="I256" s="24" t="s">
        <v>155</v>
      </c>
      <c r="J256" s="24"/>
      <c r="K256" s="12"/>
      <c r="L256" s="12"/>
      <c r="M256" s="12"/>
      <c r="N256" s="12"/>
    </row>
    <row r="257" spans="1:19" ht="15.75" customHeight="1"/>
    <row r="258" spans="1:19" ht="15.75" customHeight="1"/>
    <row r="259" spans="1:19" ht="15.75" customHeight="1"/>
    <row r="260" spans="1:19" ht="15.75" customHeight="1"/>
    <row r="261" spans="1:19" ht="30" customHeight="1">
      <c r="A261" s="1"/>
      <c r="B261" s="20" t="s">
        <v>175</v>
      </c>
      <c r="C261" s="21">
        <v>45816</v>
      </c>
      <c r="D261" s="22"/>
      <c r="E261" s="25"/>
      <c r="F261" s="26"/>
      <c r="G261" s="26"/>
      <c r="H261" s="26"/>
      <c r="I261" s="26"/>
      <c r="J261" s="25"/>
      <c r="K261" s="26"/>
      <c r="L261" s="26"/>
      <c r="M261" s="26"/>
      <c r="N261" s="26"/>
      <c r="O261" s="25"/>
      <c r="P261" s="26"/>
      <c r="Q261" s="26"/>
      <c r="R261" s="26"/>
      <c r="S261" s="26"/>
    </row>
    <row r="262" spans="1:19" ht="15.75" customHeight="1">
      <c r="A262" s="7"/>
      <c r="B262" s="7"/>
      <c r="C262" s="8">
        <f>C261</f>
        <v>45816</v>
      </c>
      <c r="D262" s="8">
        <f>C261+1</f>
        <v>45817</v>
      </c>
      <c r="E262" s="8">
        <f>C261+2</f>
        <v>45818</v>
      </c>
      <c r="F262" s="8">
        <f>C261+3</f>
        <v>45819</v>
      </c>
      <c r="G262" s="8">
        <f>C261+4</f>
        <v>45820</v>
      </c>
      <c r="H262" s="8">
        <f>C261+5</f>
        <v>45821</v>
      </c>
      <c r="I262" s="8">
        <f>C261+6</f>
        <v>45822</v>
      </c>
    </row>
    <row r="263" spans="1:19" ht="15.75" customHeight="1">
      <c r="A263" s="9"/>
      <c r="C263" s="10" t="str">
        <f t="shared" ref="C263:I263" si="35">UPPER(TEXT(C262, "DDDD"))</f>
        <v>SUNDAY</v>
      </c>
      <c r="D263" s="10" t="str">
        <f t="shared" si="35"/>
        <v>MONDAY</v>
      </c>
      <c r="E263" s="10" t="str">
        <f t="shared" si="35"/>
        <v>TUESDAY</v>
      </c>
      <c r="F263" s="10" t="str">
        <f t="shared" si="35"/>
        <v>WEDNESDAY</v>
      </c>
      <c r="G263" s="10" t="str">
        <f t="shared" si="35"/>
        <v>THURSDAY</v>
      </c>
      <c r="H263" s="10" t="str">
        <f t="shared" si="35"/>
        <v>FRIDAY</v>
      </c>
      <c r="I263" s="10" t="str">
        <f t="shared" si="35"/>
        <v>SATURDAY</v>
      </c>
    </row>
    <row r="264" spans="1:19" ht="12.75">
      <c r="A264" s="11"/>
      <c r="B264" s="12"/>
      <c r="C264" s="19" t="s">
        <v>2</v>
      </c>
      <c r="D264" s="24"/>
      <c r="E264" s="24"/>
      <c r="F264" s="24"/>
      <c r="G264" s="24"/>
      <c r="H264" s="24"/>
      <c r="I264" s="24" t="s">
        <v>155</v>
      </c>
      <c r="J264" s="24"/>
      <c r="K264" s="12"/>
      <c r="L264" s="12"/>
      <c r="M264" s="12"/>
      <c r="N264" s="12"/>
    </row>
    <row r="265" spans="1:19" ht="15.75" customHeight="1"/>
    <row r="266" spans="1:19" ht="15.75" customHeight="1"/>
    <row r="267" spans="1:19" ht="15.75" customHeight="1"/>
    <row r="268" spans="1:19" ht="15.75" customHeight="1"/>
    <row r="269" spans="1:19" ht="30" customHeight="1">
      <c r="A269" s="1"/>
      <c r="B269" s="20" t="s">
        <v>176</v>
      </c>
      <c r="C269" s="21">
        <v>45823</v>
      </c>
      <c r="D269" s="22"/>
      <c r="E269" s="25"/>
      <c r="F269" s="26"/>
      <c r="G269" s="26"/>
      <c r="H269" s="26"/>
      <c r="I269" s="26"/>
      <c r="J269" s="25"/>
      <c r="K269" s="26"/>
      <c r="L269" s="26"/>
      <c r="M269" s="26"/>
      <c r="N269" s="26"/>
      <c r="O269" s="25"/>
      <c r="P269" s="26"/>
      <c r="Q269" s="26"/>
      <c r="R269" s="26"/>
      <c r="S269" s="26"/>
    </row>
    <row r="270" spans="1:19" ht="15.75" customHeight="1">
      <c r="A270" s="7"/>
      <c r="B270" s="7"/>
      <c r="C270" s="8">
        <f>C269</f>
        <v>45823</v>
      </c>
      <c r="D270" s="8">
        <f>C269+1</f>
        <v>45824</v>
      </c>
      <c r="E270" s="8">
        <f>C269+2</f>
        <v>45825</v>
      </c>
      <c r="F270" s="8">
        <f>C269+3</f>
        <v>45826</v>
      </c>
      <c r="G270" s="8">
        <f>C269+4</f>
        <v>45827</v>
      </c>
      <c r="H270" s="8">
        <f>C269+5</f>
        <v>45828</v>
      </c>
      <c r="I270" s="8">
        <f>C269+6</f>
        <v>45829</v>
      </c>
    </row>
    <row r="271" spans="1:19" ht="15.75" customHeight="1">
      <c r="A271" s="9"/>
      <c r="C271" s="10" t="str">
        <f t="shared" ref="C271:I271" si="36">UPPER(TEXT(C270, "DDDD"))</f>
        <v>SUNDAY</v>
      </c>
      <c r="D271" s="10" t="str">
        <f t="shared" si="36"/>
        <v>MONDAY</v>
      </c>
      <c r="E271" s="10" t="str">
        <f t="shared" si="36"/>
        <v>TUESDAY</v>
      </c>
      <c r="F271" s="10" t="str">
        <f t="shared" si="36"/>
        <v>WEDNESDAY</v>
      </c>
      <c r="G271" s="10" t="str">
        <f t="shared" si="36"/>
        <v>THURSDAY</v>
      </c>
      <c r="H271" s="10" t="str">
        <f t="shared" si="36"/>
        <v>FRIDAY</v>
      </c>
      <c r="I271" s="10" t="str">
        <f t="shared" si="36"/>
        <v>SATURDAY</v>
      </c>
    </row>
    <row r="272" spans="1:19" ht="51">
      <c r="A272" s="11"/>
      <c r="B272" s="12"/>
      <c r="C272" s="19" t="s">
        <v>2</v>
      </c>
      <c r="D272" s="24" t="s">
        <v>177</v>
      </c>
      <c r="E272" s="24" t="s">
        <v>178</v>
      </c>
      <c r="F272" s="24" t="s">
        <v>180</v>
      </c>
      <c r="G272" s="24" t="s">
        <v>180</v>
      </c>
      <c r="H272" s="24" t="s">
        <v>179</v>
      </c>
      <c r="I272" s="24" t="s">
        <v>155</v>
      </c>
      <c r="J272" s="24"/>
      <c r="K272" s="12"/>
      <c r="L272" s="12"/>
      <c r="M272" s="12"/>
      <c r="N272" s="12"/>
    </row>
    <row r="273" spans="1:19" ht="15.75" customHeight="1"/>
    <row r="274" spans="1:19" ht="15.75" customHeight="1"/>
    <row r="275" spans="1:19" ht="15.75" customHeight="1"/>
    <row r="276" spans="1:19" ht="30" customHeight="1">
      <c r="A276" s="1"/>
      <c r="B276" s="20"/>
      <c r="C276" s="21">
        <v>45963</v>
      </c>
      <c r="D276" s="22"/>
      <c r="E276" s="25"/>
      <c r="F276" s="26"/>
      <c r="G276" s="26"/>
      <c r="H276" s="26"/>
      <c r="I276" s="26"/>
      <c r="J276" s="25"/>
      <c r="K276" s="26"/>
      <c r="L276" s="26"/>
      <c r="M276" s="26"/>
      <c r="N276" s="26"/>
      <c r="O276" s="25"/>
      <c r="P276" s="26"/>
      <c r="Q276" s="26"/>
      <c r="R276" s="26"/>
      <c r="S276" s="26"/>
    </row>
    <row r="277" spans="1:19" ht="15.75" customHeight="1">
      <c r="A277" s="7"/>
      <c r="B277" s="7"/>
      <c r="C277" s="8">
        <f>C276</f>
        <v>45963</v>
      </c>
      <c r="D277" s="8">
        <f>C276+1</f>
        <v>45964</v>
      </c>
      <c r="E277" s="8">
        <f>C276+2</f>
        <v>45965</v>
      </c>
      <c r="F277" s="8">
        <f>C276+3</f>
        <v>45966</v>
      </c>
      <c r="G277" s="8">
        <f>C276+4</f>
        <v>45967</v>
      </c>
      <c r="H277" s="8">
        <f>C276+5</f>
        <v>45968</v>
      </c>
      <c r="I277" s="8">
        <f>C276+6</f>
        <v>45969</v>
      </c>
    </row>
    <row r="278" spans="1:19" ht="15.75" customHeight="1">
      <c r="A278" s="9"/>
      <c r="C278" s="10" t="str">
        <f>UPPER(TEXT(C277, "DDDD"))</f>
        <v>SUNDAY</v>
      </c>
      <c r="D278" s="10" t="str">
        <f t="shared" ref="C278:I278" si="37">UPPER(TEXT(D277, "DDDD"))</f>
        <v>MONDAY</v>
      </c>
      <c r="E278" s="10" t="str">
        <f t="shared" si="37"/>
        <v>TUESDAY</v>
      </c>
      <c r="F278" s="10" t="str">
        <f t="shared" si="37"/>
        <v>WEDNESDAY</v>
      </c>
      <c r="G278" s="10" t="str">
        <f t="shared" si="37"/>
        <v>THURSDAY</v>
      </c>
      <c r="H278" s="10" t="str">
        <f t="shared" si="37"/>
        <v>FRIDAY</v>
      </c>
      <c r="I278" s="10" t="str">
        <f t="shared" si="37"/>
        <v>SATURDAY</v>
      </c>
    </row>
    <row r="279" spans="1:19" ht="76.5">
      <c r="A279" s="11"/>
      <c r="B279" s="12"/>
      <c r="C279" s="19" t="s">
        <v>2</v>
      </c>
      <c r="D279" s="24" t="s">
        <v>182</v>
      </c>
      <c r="E279" s="24" t="s">
        <v>184</v>
      </c>
      <c r="F279" s="24" t="s">
        <v>183</v>
      </c>
      <c r="G279" s="24" t="s">
        <v>181</v>
      </c>
      <c r="H279" s="24" t="s">
        <v>185</v>
      </c>
      <c r="I279" s="24" t="s">
        <v>155</v>
      </c>
      <c r="J279" s="24"/>
      <c r="K279" s="12"/>
      <c r="L279" s="12"/>
      <c r="M279" s="12"/>
      <c r="N279" s="12"/>
    </row>
    <row r="280" spans="1:19" ht="15.75" customHeight="1"/>
    <row r="281" spans="1:19" ht="15.75" customHeight="1"/>
    <row r="282" spans="1:19" ht="15.75" customHeight="1"/>
    <row r="283" spans="1:19" ht="15.75" customHeight="1"/>
    <row r="284" spans="1:19" ht="15.75" customHeight="1"/>
    <row r="285" spans="1:19" ht="15.75" customHeight="1"/>
    <row r="286" spans="1:19" ht="15.75" customHeight="1"/>
    <row r="287" spans="1:19" ht="15.75" customHeight="1"/>
    <row r="288" spans="1:19"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0">
    <mergeCell ref="E276:I276"/>
    <mergeCell ref="J276:N276"/>
    <mergeCell ref="O276:S276"/>
    <mergeCell ref="E246:I246"/>
    <mergeCell ref="J246:N246"/>
    <mergeCell ref="O246:S246"/>
    <mergeCell ref="E225:I225"/>
    <mergeCell ref="J225:N225"/>
    <mergeCell ref="O225:S225"/>
    <mergeCell ref="E232:I232"/>
    <mergeCell ref="J232:N232"/>
    <mergeCell ref="O232:S232"/>
    <mergeCell ref="E239:I239"/>
    <mergeCell ref="J239:N239"/>
    <mergeCell ref="O239:S239"/>
    <mergeCell ref="E210:I210"/>
    <mergeCell ref="J210:N210"/>
    <mergeCell ref="O210:S210"/>
    <mergeCell ref="E218:I218"/>
    <mergeCell ref="J218:N218"/>
    <mergeCell ref="O218:S218"/>
    <mergeCell ref="E194:I194"/>
    <mergeCell ref="J194:N194"/>
    <mergeCell ref="O194:S194"/>
    <mergeCell ref="E202:I202"/>
    <mergeCell ref="J202:N202"/>
    <mergeCell ref="O202:S202"/>
    <mergeCell ref="J165:N165"/>
    <mergeCell ref="O165:S165"/>
    <mergeCell ref="E179:I179"/>
    <mergeCell ref="J179:N179"/>
    <mergeCell ref="O179:S179"/>
    <mergeCell ref="E172:I172"/>
    <mergeCell ref="J172:N172"/>
    <mergeCell ref="O172:S172"/>
    <mergeCell ref="E116:I116"/>
    <mergeCell ref="J116:N116"/>
    <mergeCell ref="O116:S116"/>
    <mergeCell ref="E1:I1"/>
    <mergeCell ref="E8:I8"/>
    <mergeCell ref="E15:I15"/>
    <mergeCell ref="E22:I22"/>
    <mergeCell ref="E29:I29"/>
    <mergeCell ref="E67:I67"/>
    <mergeCell ref="J67:N67"/>
    <mergeCell ref="O67:S67"/>
    <mergeCell ref="E44:I44"/>
    <mergeCell ref="E36:I36"/>
    <mergeCell ref="E59:I59"/>
    <mergeCell ref="J59:N59"/>
    <mergeCell ref="O59:S59"/>
    <mergeCell ref="E51:I51"/>
    <mergeCell ref="J51:N51"/>
    <mergeCell ref="O51:S51"/>
    <mergeCell ref="E91:I91"/>
    <mergeCell ref="J91:N91"/>
    <mergeCell ref="O91:S91"/>
    <mergeCell ref="E75:I75"/>
    <mergeCell ref="J75:N75"/>
    <mergeCell ref="O75:S75"/>
    <mergeCell ref="E83:I83"/>
    <mergeCell ref="J83:N83"/>
    <mergeCell ref="O83:S83"/>
    <mergeCell ref="E99:I99"/>
    <mergeCell ref="J99:N99"/>
    <mergeCell ref="O99:S99"/>
    <mergeCell ref="E108:I108"/>
    <mergeCell ref="J108:N108"/>
    <mergeCell ref="O108:S108"/>
    <mergeCell ref="E123:I123"/>
    <mergeCell ref="J123:N123"/>
    <mergeCell ref="O123:S123"/>
    <mergeCell ref="E130:I130"/>
    <mergeCell ref="J130:N130"/>
    <mergeCell ref="O130:S130"/>
    <mergeCell ref="E137:I137"/>
    <mergeCell ref="J137:N137"/>
    <mergeCell ref="O137:S137"/>
    <mergeCell ref="E144:I144"/>
    <mergeCell ref="E186:I186"/>
    <mergeCell ref="J186:N186"/>
    <mergeCell ref="O186:S186"/>
    <mergeCell ref="J144:N144"/>
    <mergeCell ref="O144:S144"/>
    <mergeCell ref="E158:I158"/>
    <mergeCell ref="J158:N158"/>
    <mergeCell ref="O158:S158"/>
    <mergeCell ref="E151:I151"/>
    <mergeCell ref="J151:N151"/>
    <mergeCell ref="O151:S151"/>
    <mergeCell ref="E165:I165"/>
    <mergeCell ref="E269:I269"/>
    <mergeCell ref="J269:N269"/>
    <mergeCell ref="O269:S269"/>
    <mergeCell ref="E253:I253"/>
    <mergeCell ref="J253:N253"/>
    <mergeCell ref="O253:S253"/>
    <mergeCell ref="E261:I261"/>
    <mergeCell ref="J261:N261"/>
    <mergeCell ref="O261:S261"/>
  </mergeCells>
  <pageMargins left="0.7" right="0.7" top="0.75" bottom="0.75" header="0" footer="0"/>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Lịch làm việc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fitthuctap14</cp:lastModifiedBy>
  <dcterms:modified xsi:type="dcterms:W3CDTF">2025-11-07T09:54:45Z</dcterms:modified>
</cp:coreProperties>
</file>